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67dd47f49041d3" /></Relationships>
</file>

<file path=xl/workbook.xml><?xml version="1.0" encoding="utf-8"?>
<x:workbook xmlns:x="http://schemas.openxmlformats.org/spreadsheetml/2006/main">
  <x:sheets>
    <x:sheet xmlns:r="http://schemas.openxmlformats.org/officeDocument/2006/relationships" name="WBS" sheetId="1" r:id="R2934f2f96dde43f6"/>
    <x:sheet xmlns:r="http://schemas.openxmlformats.org/officeDocument/2006/relationships" name="Q&amp;A" sheetId="2" r:id="R3542e38dbb1c4cfb"/>
    <x:sheet xmlns:r="http://schemas.openxmlformats.org/officeDocument/2006/relationships" name="Issues" sheetId="3" r:id="R356323498c764ef0"/>
    <x:sheet xmlns:r="http://schemas.openxmlformats.org/officeDocument/2006/relationships" name="Defects" sheetId="4" r:id="Rc5dbc2f39bed435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yyyy"/>
    <x:numFmt numFmtId="201" formatCode="0%"/>
    <x:numFmt numFmtId="202" formatCode="0.00"/>
  </x:numFmts>
  <x:fonts count="6">
    <x:font>
      <x:sz val="11"/>
      <x:name val="Carlito"/>
    </x:font>
    <x:font>
      <x:sz val="10"/>
      <x:color rgb="FF243746"/>
      <x:name val="Arial"/>
    </x:font>
    <x:font>
      <x:b/>
      <x:sz val="15"/>
      <x:color rgb="FF1F4E78"/>
      <x:name val="Arial"/>
    </x:font>
    <x:font>
      <x:b/>
      <x:sz val="10"/>
      <x:color rgb="FF202020"/>
      <x:name val="Arial"/>
    </x:font>
    <x:font>
      <x:b/>
      <x:sz val="10"/>
      <x:color rgb="FF243746"/>
      <x:name val="Arial"/>
    </x:font>
    <x:font>
      <x:i/>
      <x:sz val="10"/>
      <x:color rgb="FF555555"/>
      <x:name val="Arial"/>
    </x:font>
  </x:fonts>
  <x:fills count="5">
    <x:fill>
      <x:patternFill patternType="none"/>
    </x:fill>
    <x:fill>
      <x:patternFill patternType="gray125"/>
    </x:fill>
    <x:fill>
      <x:patternFill patternType="solid">
        <x:fgColor rgb="FFFFF2CC"/>
      </x:patternFill>
    </x:fill>
    <x:fill>
      <x:patternFill patternType="solid">
        <x:fgColor rgb="FFFCE4D6"/>
      </x:patternFill>
    </x:fill>
    <x:fill>
      <x:patternFill patternType="solid">
        <x:fgColor rgb="FFFFFAE6"/>
      </x:patternFill>
    </x:fill>
  </x:fills>
  <x:borders count="1">
    <x:border>
      <x:left/>
      <x:right/>
      <x:top/>
      <x:bottom/>
      <x:diagonal/>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201"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2"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201" fontId="1" fillId="2"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201" fontId="1" fillId="4" borderId="0" xfId="0" applyNumberFormat="1" applyFont="1" applyFill="1" applyBorder="1" applyAlignment="1">
      <x:alignment vertical="center"/>
    </x:xf>
    <x:xf numFmtId="202" fontId="1" fillId="4" borderId="0" xfId="0" applyNumberFormat="1" applyFont="1" applyFill="1" applyBorder="1" applyAlignment="1">
      <x:alignment vertical="center"/>
    </x:xf>
    <x:xf numFmtId="200" fontId="1"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cellXfs>
  <x:cellStyles count="1">
    <x:cellStyle name="Normal" xfId="0"/>
  </x:cellStyles>
  <x:dxfs count="5">
    <x:dxf>
      <x:font>
        <x:b/>
        <x:color rgb="FF9C0006"/>
      </x:font>
      <x:fill>
        <x:patternFill patternType="solid">
          <x:bgColor rgb="FFFCE4D6"/>
        </x:patternFill>
      </x:fill>
    </x:dxf>
    <x:dxf>
      <x:font>
        <x:color rgb="FF9C0006"/>
      </x:font>
      <x:fill>
        <x:patternFill patternType="solid">
          <x:bgColor rgb="FFFCE4D6"/>
        </x:patternFill>
      </x:fill>
    </x:dxf>
    <x:dxf>
      <x:font>
        <x:color rgb="FF777777"/>
      </x:font>
      <x:fill>
        <x:patternFill patternType="solid">
          <x:bgColor rgb="FFF2F2F2"/>
        </x:patternFill>
      </x:fill>
    </x:dxf>
    <x:dxf>
      <x:font>
        <x:color rgb="FF375623"/>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75833e49e04c96" /><Relationship Type="http://schemas.openxmlformats.org/officeDocument/2006/relationships/theme" Target="/xl/theme/theme1.xml" Id="R466b7f349b0844fb" /><Relationship Type="http://schemas.openxmlformats.org/officeDocument/2006/relationships/sharedStrings" Target="/xl/sharedStrings.xml" Id="R7520a7d4c9cc485b" /><Relationship Type="http://schemas.openxmlformats.org/officeDocument/2006/relationships/worksheet" Target="/xl/worksheets/sheet1.xml" Id="R2934f2f96dde43f6" /><Relationship Type="http://schemas.openxmlformats.org/officeDocument/2006/relationships/worksheet" Target="/xl/worksheets/sheet2.xml" Id="R3542e38dbb1c4cfb" /><Relationship Type="http://schemas.openxmlformats.org/officeDocument/2006/relationships/worksheet" Target="/xl/worksheets/sheet3.xml" Id="R356323498c764ef0" /><Relationship Type="http://schemas.openxmlformats.org/officeDocument/2006/relationships/worksheet" Target="/xl/worksheets/sheet4.xml" Id="Rc5dbc2f39bed4354" /></Relationships>
</file>

<file path=xl/tables/table1.xml><?xml version="1.0" encoding="utf-8"?>
<x:table xmlns:x="http://schemas.openxmlformats.org/spreadsheetml/2006/main" id="1" name="WmsdWorkItems" displayName="WmsdWorkItems" ref="A16:AH158" headerRowCount="1" totalsRowCount="0" totalsRowShown="0">
  <x:tableColumns count="34">
    <x:tableColumn id="1" name="Function/Screen"/>
    <x:tableColumn id="2" name="Feature"/>
    <x:tableColumn id="3" name="Sub Feature / Domain"/>
    <x:tableColumn id="4" name="Type"/>
    <x:tableColumn id="5" name="Function/Screen Description"/>
    <x:tableColumn id="6" name="Level*"/>
    <x:tableColumn id="7" name="Est. Effort (pd)"/>
    <x:tableColumn id="8" name="Planned"/>
    <x:tableColumn id="9" name="Dev Status"/>
    <x:tableColumn id="10" name="SRS / Review"/>
    <x:tableColumn id="11" name="In-Charge (docs)"/>
    <x:tableColumn id="12" name="Doc Deadline"/>
    <x:tableColumn id="13" name="IT Case"/>
    <x:tableColumn id="14" name="In-Charge (test)"/>
    <x:tableColumn id="15" name="IT Deadline"/>
    <x:tableColumn id="16" name="IT Result"/>
    <x:tableColumn id="17" name="Reviewer"/>
    <x:tableColumn id="18" name="Review Deadline"/>
    <x:tableColumn id="19" name="Notes / Acceptance"/>
    <x:tableColumn id="20" name="UC / Task ID"/>
    <x:tableColumn id="21" name="Implementation Owner"/>
    <x:tableColumn id="22" name="Planned Start"/>
    <x:tableColumn id="23" name="Code / Task Deadline"/>
    <x:tableColumn id="24" name="Dev Complete %"/>
    <x:tableColumn id="25" name="Actual Effort (pd)"/>
    <x:tableColumn id="26" name="Dependencies"/>
    <x:tableColumn id="27" name="Scope State"/>
    <x:tableColumn id="28" name="Week 8 (pd)"/>
    <x:tableColumn id="29" name="Week 9 (pd)"/>
    <x:tableColumn id="30" name="Week 10 (pd)"/>
    <x:tableColumn id="31" name="Week 11 (pd)"/>
    <x:tableColumn id="32" name="Week 12 (pd)"/>
    <x:tableColumn id="33" name="Delivery Gate"/>
    <x:tableColumn id="34" name="Schedule Flag"/>
  </x:tableColumns>
  <x:tableStyleInfo name="TableStyleLight1" showFirstColumn="0" showLastColumn="0" showRowStripes="1" showColumnStripes="0"/>
</x:table>
</file>

<file path=xl/tables/table2.xml><?xml version="1.0" encoding="utf-8"?>
<x:table xmlns:x="http://schemas.openxmlformats.org/spreadsheetml/2006/main" id="2" name="PlanningQuestions" displayName="PlanningQuestions" ref="A1:G11" headerRowCount="1" totalsRowCount="0" totalsRowShown="0">
  <x:tableColumns count="7">
    <x:tableColumn id="1" name="Date"/>
    <x:tableColumn id="2" name="Question"/>
    <x:tableColumn id="3" name="By"/>
    <x:tableColumn id="4" name="Priority"/>
    <x:tableColumn id="5" name="Due Date"/>
    <x:tableColumn id="6" name="Status"/>
    <x:tableColumn id="7" name="Note (answer, other notes)"/>
  </x:tableColumns>
  <x:tableStyleInfo name="TableStyleMedium2" showFirstColumn="0" showLastColumn="0" showRowStripes="1" showColumnStripes="0"/>
</x:table>
</file>

<file path=xl/tables/table3.xml><?xml version="1.0" encoding="utf-8"?>
<x:table xmlns:x="http://schemas.openxmlformats.org/spreadsheetml/2006/main" id="3" name="ProjectIssues" displayName="ProjectIssues" ref="A1:H7" headerRowCount="1" totalsRowCount="0" totalsRowShown="0">
  <x:tableColumns count="8">
    <x:tableColumn id="1" name="Date"/>
    <x:tableColumn id="2" name="Issue"/>
    <x:tableColumn id="3" name="Priority"/>
    <x:tableColumn id="4" name="Created"/>
    <x:tableColumn id="5" name="Owner"/>
    <x:tableColumn id="6" name="Due Date"/>
    <x:tableColumn id="7" name="Status"/>
    <x:tableColumn id="8" name="Notes"/>
  </x:tableColumns>
  <x:tableStyleInfo name="TableStyleMedium2" showFirstColumn="0" showLastColumn="0" showRowStripes="1" showColumnStripes="0"/>
</x:table>
</file>

<file path=xl/tables/table4.xml><?xml version="1.0" encoding="utf-8"?>
<x:table xmlns:x="http://schemas.openxmlformats.org/spreadsheetml/2006/main" id="4" name="DefectLog" displayName="DefectLog" ref="A1:J11" headerRowCount="1" totalsRowCount="0" totalsRowShown="0">
  <x:tableColumns count="10">
    <x:tableColumn id="1" name="Date"/>
    <x:tableColumn id="2" name="Defect Description"/>
    <x:tableColumn id="3" name="Activity"/>
    <x:tableColumn id="4" name="Product"/>
    <x:tableColumn id="5" name="Product Details"/>
    <x:tableColumn id="6" name="Assigner"/>
    <x:tableColumn id="7" name="Assignee"/>
    <x:tableColumn id="8" name="Status"/>
    <x:tableColumn id="9" name="Updated"/>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b869e6cd47642b2" /></Relationships>
</file>

<file path=xl/worksheets/_rels/sheet2.xml.rels>&#65279;<?xml version="1.0" encoding="utf-8"?><Relationships xmlns="http://schemas.openxmlformats.org/package/2006/relationships"><Relationship Type="http://schemas.openxmlformats.org/officeDocument/2006/relationships/table" Target="/xl/tables/table2.xml" Id="R6c4d65a4ed5a47e8" /></Relationships>
</file>

<file path=xl/worksheets/_rels/sheet3.xml.rels>&#65279;<?xml version="1.0" encoding="utf-8"?><Relationships xmlns="http://schemas.openxmlformats.org/package/2006/relationships"><Relationship Type="http://schemas.openxmlformats.org/officeDocument/2006/relationships/table" Target="/xl/tables/table3.xml" Id="R40ecf881be9a4e73" /></Relationships>
</file>

<file path=xl/worksheets/_rels/sheet4.xml.rels>&#65279;<?xml version="1.0" encoding="utf-8"?><Relationships xmlns="http://schemas.openxmlformats.org/package/2006/relationships"><Relationship Type="http://schemas.openxmlformats.org/officeDocument/2006/relationships/table" Target="/xl/tables/table4.xml" Id="R634f610574224921" /></Relationships>
</file>

<file path=xl/worksheets/sheet1.xml><?xml version="1.0" encoding="utf-8"?>
<x:worksheet xmlns:x="http://schemas.openxmlformats.org/spreadsheetml/2006/main">
  <x:sheetPr>
    <x:tabColor rgb="FF1F4E78"/>
  </x:sheetPr>
  <x:sheetViews>
    <x:sheetView showGridLines="0" workbookViewId="0">
      <x:pane xSplit="1" ySplit="16" topLeftCell="B17" activePane="bottomRight" state="frozen"/>
    </x:sheetView>
  </x:sheetViews>
  <x:sheetFormatPr defaultRowHeight="15"/>
  <x:cols>
    <x:col min="1" max="1" width="42" hidden="0" customWidth="1"/>
    <x:col min="2" max="2" width="14" hidden="0" customWidth="1"/>
    <x:col min="3" max="3" width="25" hidden="0" customWidth="1"/>
    <x:col min="4" max="4" width="13" hidden="0" customWidth="1"/>
    <x:col min="5" max="5" width="72" hidden="0" customWidth="1"/>
    <x:col min="6" max="6" width="13" hidden="0" customWidth="1"/>
    <x:col min="7" max="7" width="13" hidden="0" customWidth="1"/>
    <x:col min="8" max="8" width="15" hidden="0" customWidth="1"/>
    <x:col min="9" max="9" width="22" hidden="0" customWidth="1"/>
    <x:col min="10" max="10" width="18" hidden="0" customWidth="1"/>
    <x:col min="11" max="11" width="16" hidden="0" customWidth="1"/>
    <x:col min="12" max="12" width="15" hidden="0" customWidth="1"/>
    <x:col min="13" max="13" width="16" hidden="0" customWidth="1"/>
    <x:col min="14" max="14" width="16" hidden="0" customWidth="1"/>
    <x:col min="15" max="15" width="15" hidden="0" customWidth="1"/>
    <x:col min="16" max="16" width="16" hidden="0" customWidth="1"/>
    <x:col min="17" max="17" width="16" hidden="0" customWidth="1"/>
    <x:col min="18" max="18" width="15" hidden="0" customWidth="1"/>
    <x:col min="19" max="19" width="68" hidden="0" customWidth="1"/>
    <x:col min="20" max="20" width="24" hidden="0" customWidth="1"/>
    <x:col min="21" max="21" width="18" hidden="0" customWidth="1"/>
    <x:col min="22" max="22" width="15" hidden="0" customWidth="1"/>
    <x:col min="23" max="23" width="18" hidden="0" customWidth="1"/>
    <x:col min="24" max="24" width="14" hidden="0" customWidth="1"/>
    <x:col min="25" max="25" width="16" hidden="0" customWidth="1"/>
    <x:col min="26" max="26" width="55" hidden="0" customWidth="1"/>
    <x:col min="27" max="27" width="15" hidden="0" customWidth="1"/>
    <x:col min="28" max="28" width="14" hidden="0" customWidth="1"/>
    <x:col min="29" max="29" width="14" hidden="0" customWidth="1"/>
    <x:col min="30" max="30" width="14" hidden="0" customWidth="1"/>
    <x:col min="31" max="31" width="14" hidden="0" customWidth="1"/>
    <x:col min="32" max="32" width="14" hidden="0" customWidth="1"/>
    <x:col min="33" max="33" width="16" hidden="0" customWidth="1"/>
    <x:col min="34" max="34" width="18" hidden="0" customWidth="1"/>
  </x:cols>
  <x:sheetData>
    <x:row r="1" ht="23" customHeight="1">
      <x:c r="A1" s="3" t="str">
        <x:v>WMSD · Five-week implementation and documentation tracker</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row>
    <x:row r="2" ht="23" customHeight="1">
      <x:c r="A2" s="2"/>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row>
    <x:row r="3" ht="38" customHeight="1">
      <x:c r="A3" s="16" t="str">
        <x:v>Plan start</x:v>
      </x:c>
      <x:c r="B3" s="18" t="d">
        <x:v>2026-10-26T00:00:00.000Z</x:v>
      </x:c>
      <x:c r="C3" s="16" t="str">
        <x:v>Plan end</x:v>
      </x:c>
      <x:c r="D3" s="18" t="d">
        <x:v>2026-11-29T00:00:00.000Z</x:v>
      </x:c>
      <x:c r="E3" s="16" t="str">
        <x:v>Hours/person/week</x:v>
      </x:c>
      <x:c r="F3" s="19" t="n">
        <x:v>40</x:v>
      </x:c>
      <x:c r="G3" s="16" t="str">
        <x:v>Coordination reserve</x:v>
      </x:c>
      <x:c r="H3" s="20" t="n">
        <x:v>0.2</x:v>
      </x:c>
      <x:c r="I3" s="16" t="str">
        <x:v>Hours/person-day</x:v>
      </x:c>
      <x:c r="J3" s="19" t="n">
        <x:v>8</x:v>
      </x:c>
      <x:c r="K3" s="16" t="str">
        <x:v>Working days/week</x:v>
      </x:c>
      <x:c r="L3" s="19" t="n">
        <x:v>5</x:v>
      </x:c>
      <x:c r="M3" s="16" t="str">
        <x:v>As of</x:v>
      </x:c>
      <x:c r="N3" s="18" t="d">
        <x:v>2026-10-26T00:00:00.000Z</x:v>
      </x:c>
      <x:c r="O3" s="2"/>
      <x:c r="P3" s="2"/>
      <x:c r="Q3" s="2"/>
      <x:c r="R3" s="2"/>
      <x:c r="S3" s="2"/>
      <x:c r="T3" s="2"/>
      <x:c r="U3" s="2"/>
      <x:c r="V3" s="2"/>
      <x:c r="W3" s="2"/>
      <x:c r="X3" s="2"/>
      <x:c r="Y3" s="2"/>
      <x:c r="Z3" s="2"/>
      <x:c r="AA3" s="2"/>
      <x:c r="AB3" s="2"/>
      <x:c r="AC3" s="2"/>
      <x:c r="AD3" s="2"/>
      <x:c r="AE3" s="2"/>
      <x:c r="AF3" s="2"/>
      <x:c r="AG3" s="2"/>
      <x:c r="AH3" s="2"/>
    </x:row>
    <x:row r="4" ht="38" customHeight="1">
      <x:c r="A4" s="16" t="str">
        <x:v>Code weeks</x:v>
      </x:c>
      <x:c r="B4" s="19" t="n">
        <x:v>5</x:v>
      </x:c>
      <x:c r="C4" s="16" t="str">
        <x:v>Project weeks</x:v>
      </x:c>
      <x:c r="D4" s="19" t="str">
        <x:v>8–12</x:v>
      </x:c>
      <x:c r="E4" s="16" t="str">
        <x:v>Review window starts</x:v>
      </x:c>
      <x:c r="F4" s="18" t="d">
        <x:v>2026-11-30T00:00:00.000Z</x:v>
      </x:c>
      <x:c r="G4" s="16" t="str">
        <x:v>Review window ends</x:v>
      </x:c>
      <x:c r="H4" s="18" t="d">
        <x:v>2026-12-06T00:00:00.000Z</x:v>
      </x:c>
      <x:c r="I4" s="16" t="str">
        <x:v>Exact review date</x:v>
      </x:c>
      <x:c r="J4" s="19" t="str">
        <x:v>TBC</x:v>
      </x:c>
      <x:c r="K4" s="16" t="str">
        <x:v>Team size</x:v>
      </x:c>
      <x:c r="L4" s="16" t="n">
        <x:f>COUNTA(A7:A11)</x:f>
        <x:v>5</x:v>
      </x:c>
      <x:c r="M4" s="16" t="str">
        <x:v>Reserve meaning</x:v>
      </x:c>
      <x:c r="N4" s="16" t="str">
        <x:v>Meetings and unplanned reviews/interruptions</x:v>
      </x:c>
      <x:c r="O4" s="2"/>
      <x:c r="P4" s="2"/>
      <x:c r="Q4" s="2"/>
      <x:c r="R4" s="2"/>
      <x:c r="S4" s="2"/>
      <x:c r="T4" s="2"/>
      <x:c r="U4" s="2"/>
      <x:c r="V4" s="2"/>
      <x:c r="W4" s="2"/>
      <x:c r="X4" s="2"/>
      <x:c r="Y4" s="2"/>
      <x:c r="Z4" s="2"/>
      <x:c r="AA4" s="2"/>
      <x:c r="AB4" s="2"/>
      <x:c r="AC4" s="2"/>
      <x:c r="AD4" s="2"/>
      <x:c r="AE4" s="2"/>
      <x:c r="AF4" s="2"/>
      <x:c r="AG4" s="2"/>
      <x:c r="AH4" s="2"/>
    </x:row>
    <x:row r="5" ht="23" customHeight="1">
      <x:c r="A5" s="2"/>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row>
    <x:row r="6" ht="38" customHeight="1">
      <x:c r="A6" s="11" t="str">
        <x:v>Business owner</x:v>
      </x:c>
      <x:c r="B6" s="11" t="str">
        <x:v>Active UC</x:v>
      </x:c>
      <x:c r="C6" s="11" t="str">
        <x:v>UC effort (pd)</x:v>
      </x:c>
      <x:c r="D6" s="11" t="str">
        <x:v>Support (pd)</x:v>
      </x:c>
      <x:c r="E6" s="11" t="str">
        <x:v>Total plan (pd)</x:v>
      </x:c>
      <x:c r="F6" s="11" t="str">
        <x:v>Net capacity (pd)</x:v>
      </x:c>
      <x:c r="G6" s="11" t="str">
        <x:v>Unallocated (pd)</x:v>
      </x:c>
      <x:c r="H6" s="11" t="str">
        <x:v>Reported coded UC</x:v>
      </x:c>
      <x:c r="I6" s="11" t="str">
        <x:v>Accepted UC</x:v>
      </x:c>
      <x:c r="J6" s="2"/>
      <x:c r="K6" s="11" t="str">
        <x:v>Task owner</x:v>
      </x:c>
      <x:c r="L6" s="11" t="str">
        <x:v>Week 8 (pd)</x:v>
      </x:c>
      <x:c r="M6" s="11" t="str">
        <x:v>Week 9 (pd)</x:v>
      </x:c>
      <x:c r="N6" s="11" t="str">
        <x:v>Week 10 (pd)</x:v>
      </x:c>
      <x:c r="O6" s="11" t="str">
        <x:v>Week 11 (pd)</x:v>
      </x:c>
      <x:c r="P6" s="11" t="str">
        <x:v>Week 12 (pd)</x:v>
      </x:c>
      <x:c r="Q6" s="11" t="str">
        <x:v>Weekly cap (pd)</x:v>
      </x:c>
      <x:c r="R6" s="2"/>
      <x:c r="S6" s="2"/>
      <x:c r="T6" s="2"/>
      <x:c r="U6" s="2"/>
      <x:c r="V6" s="2"/>
      <x:c r="W6" s="2"/>
      <x:c r="X6" s="2"/>
      <x:c r="Y6" s="2"/>
      <x:c r="Z6" s="2"/>
      <x:c r="AA6" s="2"/>
      <x:c r="AB6" s="2"/>
      <x:c r="AC6" s="2"/>
      <x:c r="AD6" s="2"/>
      <x:c r="AE6" s="2"/>
      <x:c r="AF6" s="2"/>
      <x:c r="AG6" s="2"/>
      <x:c r="AH6" s="2"/>
    </x:row>
    <x:row r="7" ht="23" customHeight="1">
      <x:c r="A7" s="2" t="str">
        <x:v>minhtd</x:v>
      </x:c>
      <x:c r="B7" s="2" t="n">
        <x:f>COUNTIFS($U$17:$U$158,A7,$AA$17:$AA$158,"ACTIVE")</x:f>
        <x:v>22</x:v>
      </x:c>
      <x:c r="C7" s="13" t="n">
        <x:f>SUMIFS($G$17:$G$158,$U$17:$U$158,A7,$AA$17:$AA$158,"ACTIVE")</x:f>
        <x:v>13</x:v>
      </x:c>
      <x:c r="D7" s="13" t="n">
        <x:f>SUMIFS($G$17:$G$158,$U$17:$U$158,A7,$AA$17:$AA$158,"SUPPORT")</x:f>
        <x:v>5</x:v>
      </x:c>
      <x:c r="E7" s="13" t="n">
        <x:f>SUM(C7:D7)</x:f>
        <x:v>18</x:v>
      </x:c>
      <x:c r="F7" s="13" t="n">
        <x:f>$F$3*$B$4*(1-$H$3)/$J$3</x:f>
        <x:v>20</x:v>
      </x:c>
      <x:c r="G7" s="13" t="n">
        <x:f>F7-E7</x:f>
        <x:v>2</x:v>
      </x:c>
      <x:c r="H7" s="2" t="n">
        <x:f>COUNTIFS($U$17:$U$158,A7,$AA$17:$AA$158,"ACTIVE",$I$17:$I$158,"Reported complete")+COUNTIFS($U$17:$U$158,A7,$AA$17:$AA$158,"ACTIVE",$I$17:$I$158,"Complete")</x:f>
        <x:v>0</x:v>
      </x:c>
      <x:c r="I7" s="2" t="n">
        <x:f>COUNTIFS($U$17:$U$158,A7,$AA$17:$AA$158,"ACTIVE",$AG$17:$AG$158,"Accepted")</x:f>
        <x:v>0</x:v>
      </x:c>
      <x:c r="J7" s="2"/>
      <x:c r="K7" s="2" t="str">
        <x:v>minhtd</x:v>
      </x:c>
      <x:c r="L7" s="13" t="n">
        <x:f>SUMIF($U$17:$U$158,K7,$AB$17:$AB$158)</x:f>
        <x:v>4</x:v>
      </x:c>
      <x:c r="M7" s="13" t="n">
        <x:f>SUMIF($U$17:$U$158,K7,$AC$17:$AC$158)</x:f>
        <x:v>4</x:v>
      </x:c>
      <x:c r="N7" s="13" t="n">
        <x:f>SUMIF($U$17:$U$158,K7,$AD$17:$AD$158)</x:f>
        <x:v>4</x:v>
      </x:c>
      <x:c r="O7" s="13" t="n">
        <x:f>SUMIF($U$17:$U$158,K7,$AE$17:$AE$158)</x:f>
        <x:v>3.5</x:v>
      </x:c>
      <x:c r="P7" s="13" t="n">
        <x:f>SUMIF($U$17:$U$158,K7,$AF$17:$AF$158)</x:f>
        <x:v>2.5</x:v>
      </x:c>
      <x:c r="Q7" s="13" t="n">
        <x:f>$F$3*(1-$H$3)/$J$3</x:f>
        <x:v>4</x:v>
      </x:c>
      <x:c r="R7" s="2"/>
      <x:c r="S7" s="2"/>
      <x:c r="T7" s="2"/>
      <x:c r="U7" s="2"/>
      <x:c r="V7" s="2"/>
      <x:c r="W7" s="2"/>
      <x:c r="X7" s="2"/>
      <x:c r="Y7" s="2"/>
      <x:c r="Z7" s="2"/>
      <x:c r="AA7" s="2"/>
      <x:c r="AB7" s="2"/>
      <x:c r="AC7" s="2"/>
      <x:c r="AD7" s="2"/>
      <x:c r="AE7" s="2"/>
      <x:c r="AF7" s="2"/>
      <x:c r="AG7" s="2"/>
      <x:c r="AH7" s="2"/>
    </x:row>
    <x:row r="8" ht="23" customHeight="1">
      <x:c r="A8" s="2" t="str">
        <x:v>hieudt</x:v>
      </x:c>
      <x:c r="B8" s="2" t="n">
        <x:f>COUNTIFS($U$17:$U$158,A8,$AA$17:$AA$158,"ACTIVE")</x:f>
        <x:v>18</x:v>
      </x:c>
      <x:c r="C8" s="13" t="n">
        <x:f>SUMIFS($G$17:$G$158,$U$17:$U$158,A8,$AA$17:$AA$158,"ACTIVE")</x:f>
        <x:v>11.75</x:v>
      </x:c>
      <x:c r="D8" s="13" t="n">
        <x:f>SUMIFS($G$17:$G$158,$U$17:$U$158,A8,$AA$17:$AA$158,"SUPPORT")</x:f>
        <x:v>5</x:v>
      </x:c>
      <x:c r="E8" s="13" t="n">
        <x:f>SUM(C8:D8)</x:f>
        <x:v>16.75</x:v>
      </x:c>
      <x:c r="F8" s="13" t="n">
        <x:f>$F$3*$B$4*(1-$H$3)/$J$3</x:f>
        <x:v>20</x:v>
      </x:c>
      <x:c r="G8" s="13" t="n">
        <x:f>F8-E8</x:f>
        <x:v>3.25</x:v>
      </x:c>
      <x:c r="H8" s="2" t="n">
        <x:f>COUNTIFS($U$17:$U$158,A8,$AA$17:$AA$158,"ACTIVE",$I$17:$I$158,"Reported complete")+COUNTIFS($U$17:$U$158,A8,$AA$17:$AA$158,"ACTIVE",$I$17:$I$158,"Complete")</x:f>
        <x:v>0</x:v>
      </x:c>
      <x:c r="I8" s="2" t="n">
        <x:f>COUNTIFS($U$17:$U$158,A8,$AA$17:$AA$158,"ACTIVE",$AG$17:$AG$158,"Accepted")</x:f>
        <x:v>0</x:v>
      </x:c>
      <x:c r="J8" s="2"/>
      <x:c r="K8" s="2" t="str">
        <x:v>hieudt</x:v>
      </x:c>
      <x:c r="L8" s="13" t="n">
        <x:f>SUMIF($U$17:$U$158,K8,$AB$17:$AB$158)</x:f>
        <x:v>4</x:v>
      </x:c>
      <x:c r="M8" s="13" t="n">
        <x:f>SUMIF($U$17:$U$158,K8,$AC$17:$AC$158)</x:f>
        <x:v>4</x:v>
      </x:c>
      <x:c r="N8" s="13" t="n">
        <x:f>SUMIF($U$17:$U$158,K8,$AD$17:$AD$158)</x:f>
        <x:v>4</x:v>
      </x:c>
      <x:c r="O8" s="13" t="n">
        <x:f>SUMIF($U$17:$U$158,K8,$AE$17:$AE$158)</x:f>
        <x:v>2.25</x:v>
      </x:c>
      <x:c r="P8" s="13" t="n">
        <x:f>SUMIF($U$17:$U$158,K8,$AF$17:$AF$158)</x:f>
        <x:v>2.5</x:v>
      </x:c>
      <x:c r="Q8" s="13" t="n">
        <x:f>$F$3*(1-$H$3)/$J$3</x:f>
        <x:v>4</x:v>
      </x:c>
      <x:c r="R8" s="2"/>
      <x:c r="S8" s="2"/>
      <x:c r="T8" s="2"/>
      <x:c r="U8" s="2"/>
      <x:c r="V8" s="2"/>
      <x:c r="W8" s="2"/>
      <x:c r="X8" s="2"/>
      <x:c r="Y8" s="2"/>
      <x:c r="Z8" s="2"/>
      <x:c r="AA8" s="2"/>
      <x:c r="AB8" s="2"/>
      <x:c r="AC8" s="2"/>
      <x:c r="AD8" s="2"/>
      <x:c r="AE8" s="2"/>
      <x:c r="AF8" s="2"/>
      <x:c r="AG8" s="2"/>
      <x:c r="AH8" s="2"/>
    </x:row>
    <x:row r="9" ht="23" customHeight="1">
      <x:c r="A9" s="2" t="str">
        <x:v>danghh</x:v>
      </x:c>
      <x:c r="B9" s="2" t="n">
        <x:f>COUNTIFS($U$17:$U$158,A9,$AA$17:$AA$158,"ACTIVE")</x:f>
        <x:v>21</x:v>
      </x:c>
      <x:c r="C9" s="13" t="n">
        <x:f>SUMIFS($G$17:$G$158,$U$17:$U$158,A9,$AA$17:$AA$158,"ACTIVE")</x:f>
        <x:v>14.75</x:v>
      </x:c>
      <x:c r="D9" s="13" t="n">
        <x:f>SUMIFS($G$17:$G$158,$U$17:$U$158,A9,$AA$17:$AA$158,"SUPPORT")</x:f>
        <x:v>5</x:v>
      </x:c>
      <x:c r="E9" s="13" t="n">
        <x:f>SUM(C9:D9)</x:f>
        <x:v>19.75</x:v>
      </x:c>
      <x:c r="F9" s="13" t="n">
        <x:f>$F$3*$B$4*(1-$H$3)/$J$3</x:f>
        <x:v>20</x:v>
      </x:c>
      <x:c r="G9" s="13" t="n">
        <x:f>F9-E9</x:f>
        <x:v>0.25</x:v>
      </x:c>
      <x:c r="H9" s="2" t="n">
        <x:f>COUNTIFS($U$17:$U$158,A9,$AA$17:$AA$158,"ACTIVE",$I$17:$I$158,"Reported complete")+COUNTIFS($U$17:$U$158,A9,$AA$17:$AA$158,"ACTIVE",$I$17:$I$158,"Complete")</x:f>
        <x:v>0</x:v>
      </x:c>
      <x:c r="I9" s="2" t="n">
        <x:f>COUNTIFS($U$17:$U$158,A9,$AA$17:$AA$158,"ACTIVE",$AG$17:$AG$158,"Accepted")</x:f>
        <x:v>0</x:v>
      </x:c>
      <x:c r="J9" s="2"/>
      <x:c r="K9" s="2" t="str">
        <x:v>danghh</x:v>
      </x:c>
      <x:c r="L9" s="13" t="n">
        <x:f>SUMIF($U$17:$U$158,K9,$AB$17:$AB$158)</x:f>
        <x:v>4</x:v>
      </x:c>
      <x:c r="M9" s="13" t="n">
        <x:f>SUMIF($U$17:$U$158,K9,$AC$17:$AC$158)</x:f>
        <x:v>4</x:v>
      </x:c>
      <x:c r="N9" s="13" t="n">
        <x:f>SUMIF($U$17:$U$158,K9,$AD$17:$AD$158)</x:f>
        <x:v>4</x:v>
      </x:c>
      <x:c r="O9" s="13" t="n">
        <x:f>SUMIF($U$17:$U$158,K9,$AE$17:$AE$158)</x:f>
        <x:v>4</x:v>
      </x:c>
      <x:c r="P9" s="13" t="n">
        <x:f>SUMIF($U$17:$U$158,K9,$AF$17:$AF$158)</x:f>
        <x:v>3.75</x:v>
      </x:c>
      <x:c r="Q9" s="13" t="n">
        <x:f>$F$3*(1-$H$3)/$J$3</x:f>
        <x:v>4</x:v>
      </x:c>
      <x:c r="R9" s="2"/>
      <x:c r="S9" s="2"/>
      <x:c r="T9" s="2"/>
      <x:c r="U9" s="2"/>
      <x:c r="V9" s="2"/>
      <x:c r="W9" s="2"/>
      <x:c r="X9" s="2"/>
      <x:c r="Y9" s="2"/>
      <x:c r="Z9" s="2"/>
      <x:c r="AA9" s="2"/>
      <x:c r="AB9" s="2"/>
      <x:c r="AC9" s="2"/>
      <x:c r="AD9" s="2"/>
      <x:c r="AE9" s="2"/>
      <x:c r="AF9" s="2"/>
      <x:c r="AG9" s="2"/>
      <x:c r="AH9" s="2"/>
    </x:row>
    <x:row r="10" ht="23" customHeight="1">
      <x:c r="A10" s="2" t="str">
        <x:v>trungph</x:v>
      </x:c>
      <x:c r="B10" s="2" t="n">
        <x:f>COUNTIFS($U$17:$U$158,A10,$AA$17:$AA$158,"ACTIVE")</x:f>
        <x:v>19</x:v>
      </x:c>
      <x:c r="C10" s="13" t="n">
        <x:f>SUMIFS($G$17:$G$158,$U$17:$U$158,A10,$AA$17:$AA$158,"ACTIVE")</x:f>
        <x:v>16.75</x:v>
      </x:c>
      <x:c r="D10" s="13" t="n">
        <x:f>SUMIFS($G$17:$G$158,$U$17:$U$158,A10,$AA$17:$AA$158,"SUPPORT")</x:f>
        <x:v>3</x:v>
      </x:c>
      <x:c r="E10" s="13" t="n">
        <x:f>SUM(C10:D10)</x:f>
        <x:v>19.75</x:v>
      </x:c>
      <x:c r="F10" s="13" t="n">
        <x:f>$F$3*$B$4*(1-$H$3)/$J$3</x:f>
        <x:v>20</x:v>
      </x:c>
      <x:c r="G10" s="13" t="n">
        <x:f>F10-E10</x:f>
        <x:v>0.25</x:v>
      </x:c>
      <x:c r="H10" s="2" t="n">
        <x:f>COUNTIFS($U$17:$U$158,A10,$AA$17:$AA$158,"ACTIVE",$I$17:$I$158,"Reported complete")+COUNTIFS($U$17:$U$158,A10,$AA$17:$AA$158,"ACTIVE",$I$17:$I$158,"Complete")</x:f>
        <x:v>0</x:v>
      </x:c>
      <x:c r="I10" s="2" t="n">
        <x:f>COUNTIFS($U$17:$U$158,A10,$AA$17:$AA$158,"ACTIVE",$AG$17:$AG$158,"Accepted")</x:f>
        <x:v>0</x:v>
      </x:c>
      <x:c r="J10" s="2"/>
      <x:c r="K10" s="2" t="str">
        <x:v>trungph</x:v>
      </x:c>
      <x:c r="L10" s="13" t="n">
        <x:f>SUMIF($U$17:$U$158,K10,$AB$17:$AB$158)</x:f>
        <x:v>4</x:v>
      </x:c>
      <x:c r="M10" s="13" t="n">
        <x:f>SUMIF($U$17:$U$158,K10,$AC$17:$AC$158)</x:f>
        <x:v>4</x:v>
      </x:c>
      <x:c r="N10" s="13" t="n">
        <x:f>SUMIF($U$17:$U$158,K10,$AD$17:$AD$158)</x:f>
        <x:v>4</x:v>
      </x:c>
      <x:c r="O10" s="13" t="n">
        <x:f>SUMIF($U$17:$U$158,K10,$AE$17:$AE$158)</x:f>
        <x:v>4</x:v>
      </x:c>
      <x:c r="P10" s="13" t="n">
        <x:f>SUMIF($U$17:$U$158,K10,$AF$17:$AF$158)</x:f>
        <x:v>3.75</x:v>
      </x:c>
      <x:c r="Q10" s="13" t="n">
        <x:f>$F$3*(1-$H$3)/$J$3</x:f>
        <x:v>4</x:v>
      </x:c>
      <x:c r="R10" s="2"/>
      <x:c r="S10" s="2"/>
      <x:c r="T10" s="2"/>
      <x:c r="U10" s="2"/>
      <x:c r="V10" s="2"/>
      <x:c r="W10" s="2"/>
      <x:c r="X10" s="2"/>
      <x:c r="Y10" s="2"/>
      <x:c r="Z10" s="2"/>
      <x:c r="AA10" s="2"/>
      <x:c r="AB10" s="2"/>
      <x:c r="AC10" s="2"/>
      <x:c r="AD10" s="2"/>
      <x:c r="AE10" s="2"/>
      <x:c r="AF10" s="2"/>
      <x:c r="AG10" s="2"/>
      <x:c r="AH10" s="2"/>
    </x:row>
    <x:row r="11" ht="23" customHeight="1">
      <x:c r="A11" s="2" t="str">
        <x:v>bachhm</x:v>
      </x:c>
      <x:c r="B11" s="2" t="n">
        <x:f>COUNTIFS($U$17:$U$158,A11,$AA$17:$AA$158,"ACTIVE")</x:f>
        <x:v>17</x:v>
      </x:c>
      <x:c r="C11" s="13" t="n">
        <x:f>SUMIFS($G$17:$G$158,$U$17:$U$158,A11,$AA$17:$AA$158,"ACTIVE")</x:f>
        <x:v>11</x:v>
      </x:c>
      <x:c r="D11" s="13" t="n">
        <x:f>SUMIFS($G$17:$G$158,$U$17:$U$158,A11,$AA$17:$AA$158,"SUPPORT")</x:f>
        <x:v>7</x:v>
      </x:c>
      <x:c r="E11" s="13" t="n">
        <x:f>SUM(C11:D11)</x:f>
        <x:v>18</x:v>
      </x:c>
      <x:c r="F11" s="13" t="n">
        <x:f>$F$3*$B$4*(1-$H$3)/$J$3</x:f>
        <x:v>20</x:v>
      </x:c>
      <x:c r="G11" s="13" t="n">
        <x:f>F11-E11</x:f>
        <x:v>2</x:v>
      </x:c>
      <x:c r="H11" s="2" t="n">
        <x:f>COUNTIFS($U$17:$U$158,A11,$AA$17:$AA$158,"ACTIVE",$I$17:$I$158,"Reported complete")+COUNTIFS($U$17:$U$158,A11,$AA$17:$AA$158,"ACTIVE",$I$17:$I$158,"Complete")</x:f>
        <x:v>5</x:v>
      </x:c>
      <x:c r="I11" s="2" t="n">
        <x:f>COUNTIFS($U$17:$U$158,A11,$AA$17:$AA$158,"ACTIVE",$AG$17:$AG$158,"Accepted")</x:f>
        <x:v>0</x:v>
      </x:c>
      <x:c r="J11" s="2"/>
      <x:c r="K11" s="2" t="str">
        <x:v>bachhm</x:v>
      </x:c>
      <x:c r="L11" s="13" t="n">
        <x:f>SUMIF($U$17:$U$158,K11,$AB$17:$AB$158)</x:f>
        <x:v>4</x:v>
      </x:c>
      <x:c r="M11" s="13" t="n">
        <x:f>SUMIF($U$17:$U$158,K11,$AC$17:$AC$158)</x:f>
        <x:v>4</x:v>
      </x:c>
      <x:c r="N11" s="13" t="n">
        <x:f>SUMIF($U$17:$U$158,K11,$AD$17:$AD$158)</x:f>
        <x:v>4</x:v>
      </x:c>
      <x:c r="O11" s="13" t="n">
        <x:f>SUMIF($U$17:$U$158,K11,$AE$17:$AE$158)</x:f>
        <x:v>3.5</x:v>
      </x:c>
      <x:c r="P11" s="13" t="n">
        <x:f>SUMIF($U$17:$U$158,K11,$AF$17:$AF$158)</x:f>
        <x:v>2.5</x:v>
      </x:c>
      <x:c r="Q11" s="13" t="n">
        <x:f>$F$3*(1-$H$3)/$J$3</x:f>
        <x:v>4</x:v>
      </x:c>
      <x:c r="R11" s="2"/>
      <x:c r="S11" s="2"/>
      <x:c r="T11" s="2"/>
      <x:c r="U11" s="2"/>
      <x:c r="V11" s="2"/>
      <x:c r="W11" s="2"/>
      <x:c r="X11" s="2"/>
      <x:c r="Y11" s="2"/>
      <x:c r="Z11" s="2"/>
      <x:c r="AA11" s="2"/>
      <x:c r="AB11" s="2"/>
      <x:c r="AC11" s="2"/>
      <x:c r="AD11" s="2"/>
      <x:c r="AE11" s="2"/>
      <x:c r="AF11" s="2"/>
      <x:c r="AG11" s="2"/>
      <x:c r="AH11" s="2"/>
    </x:row>
    <x:row r="12" ht="23" customHeight="1">
      <x:c r="A12" s="12" t="str">
        <x:v>Total</x:v>
      </x:c>
      <x:c r="B12" s="12" t="n">
        <x:f>SUM(B7:B11)</x:f>
        <x:v>97</x:v>
      </x:c>
      <x:c r="C12" s="14" t="n">
        <x:f>SUM(C7:C11)</x:f>
        <x:v>67.25</x:v>
      </x:c>
      <x:c r="D12" s="14" t="n">
        <x:f>SUM(D7:D11)</x:f>
        <x:v>25</x:v>
      </x:c>
      <x:c r="E12" s="14" t="n">
        <x:f>SUM(E7:E11)</x:f>
        <x:v>92.25</x:v>
      </x:c>
      <x:c r="F12" s="14" t="n">
        <x:f>SUM(F7:F11)</x:f>
        <x:v>100</x:v>
      </x:c>
      <x:c r="G12" s="14" t="n">
        <x:f>SUM(G7:G11)</x:f>
        <x:v>7.75</x:v>
      </x:c>
      <x:c r="H12" s="12" t="n">
        <x:f>SUM(H7:H11)</x:f>
        <x:v>5</x:v>
      </x:c>
      <x:c r="I12" s="12" t="n">
        <x:f>SUM(I7:I11)</x:f>
        <x:v>0</x:v>
      </x:c>
      <x:c r="J12" s="2"/>
      <x:c r="K12" s="12" t="str">
        <x:v>Total</x:v>
      </x:c>
      <x:c r="L12" s="14" t="n">
        <x:f>SUM(L7:L11)</x:f>
        <x:v>20</x:v>
      </x:c>
      <x:c r="M12" s="14" t="n">
        <x:f>SUM(M7:M11)</x:f>
        <x:v>20</x:v>
      </x:c>
      <x:c r="N12" s="14" t="n">
        <x:f>SUM(N7:N11)</x:f>
        <x:v>20</x:v>
      </x:c>
      <x:c r="O12" s="14" t="n">
        <x:f>SUM(O7:O11)</x:f>
        <x:v>17.25</x:v>
      </x:c>
      <x:c r="P12" s="14" t="n">
        <x:f>SUM(P7:P11)</x:f>
        <x:v>15</x:v>
      </x:c>
      <x:c r="Q12" s="14" t="n">
        <x:f>SUM(Q7:Q11)</x:f>
        <x:v>20</x:v>
      </x:c>
      <x:c r="R12" s="2"/>
      <x:c r="S12" s="2"/>
      <x:c r="T12" s="2"/>
      <x:c r="U12" s="2"/>
      <x:c r="V12" s="2"/>
      <x:c r="W12" s="2"/>
      <x:c r="X12" s="2"/>
      <x:c r="Y12" s="2"/>
      <x:c r="Z12" s="2"/>
      <x:c r="AA12" s="2"/>
      <x:c r="AB12" s="2"/>
      <x:c r="AC12" s="2"/>
      <x:c r="AD12" s="2"/>
      <x:c r="AE12" s="2"/>
      <x:c r="AF12" s="2"/>
      <x:c r="AG12" s="2"/>
      <x:c r="AH12" s="2"/>
    </x:row>
    <x:row r="13" ht="23" customHeight="1">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c r="AA13" s="2"/>
      <x:c r="AB13" s="2"/>
      <x:c r="AC13" s="2"/>
      <x:c r="AD13" s="2"/>
      <x:c r="AE13" s="2"/>
      <x:c r="AF13" s="2"/>
      <x:c r="AG13" s="2"/>
      <x:c r="AH13" s="2"/>
    </x:row>
    <x:row r="14" ht="23" customHeight="1">
      <x:c r="A14" s="15" t="str">
        <x:v>Source: Report 3 catalogue, baseline 3.1.0; team answers dated 26/10/2026. 97 active UC; 14 retired IDs retained. 5 auth/admin UC reported coded; tests not yet evidenced.</x:v>
      </x:c>
      <x:c r="B14" s="2"/>
      <x:c r="C14" s="2"/>
      <x:c r="D14" s="2"/>
      <x:c r="E14" s="2"/>
      <x:c r="F14" s="2"/>
      <x:c r="G14" s="2"/>
      <x:c r="H14" s="2"/>
      <x:c r="I14" s="2"/>
      <x:c r="J14" s="2"/>
      <x:c r="K14" s="2"/>
      <x:c r="L14" s="2"/>
      <x:c r="M14" s="2"/>
      <x:c r="N14" s="2"/>
      <x:c r="O14" s="2"/>
      <x:c r="P14" s="2"/>
      <x:c r="Q14" s="2"/>
      <x:c r="R14" s="2"/>
      <x:c r="S14" s="2"/>
      <x:c r="T14" s="2"/>
      <x:c r="U14" s="2"/>
      <x:c r="V14" s="2"/>
      <x:c r="W14" s="2"/>
      <x:c r="X14" s="2"/>
      <x:c r="Y14" s="2"/>
      <x:c r="Z14" s="2"/>
      <x:c r="AA14" s="2"/>
      <x:c r="AB14" s="2"/>
      <x:c r="AC14" s="2"/>
      <x:c r="AD14" s="2"/>
      <x:c r="AE14" s="2"/>
      <x:c r="AF14" s="2"/>
      <x:c r="AG14" s="2"/>
      <x:c r="AH14" s="2"/>
    </x:row>
    <x:row r="15" ht="23" customHeight="1">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row>
    <x:row r="16" ht="42" customHeight="1">
      <x:c r="A16" s="11" t="str">
        <x:v>Function/Screen</x:v>
      </x:c>
      <x:c r="B16" s="11" t="str">
        <x:v>Feature</x:v>
      </x:c>
      <x:c r="C16" s="11" t="str">
        <x:v>Sub Feature / Domain</x:v>
      </x:c>
      <x:c r="D16" s="11" t="str">
        <x:v>Type</x:v>
      </x:c>
      <x:c r="E16" s="11" t="str">
        <x:v>Function/Screen Description</x:v>
      </x:c>
      <x:c r="F16" s="11" t="str">
        <x:v>Level*</x:v>
      </x:c>
      <x:c r="G16" s="11" t="str">
        <x:v>Est. Effort (pd)</x:v>
      </x:c>
      <x:c r="H16" s="11" t="str">
        <x:v>Planned</x:v>
      </x:c>
      <x:c r="I16" s="11" t="str">
        <x:v>Dev Status</x:v>
      </x:c>
      <x:c r="J16" s="11" t="str">
        <x:v>SRS / Review</x:v>
      </x:c>
      <x:c r="K16" s="11" t="str">
        <x:v>In-Charge (docs)</x:v>
      </x:c>
      <x:c r="L16" s="11" t="str">
        <x:v>Doc Deadline</x:v>
      </x:c>
      <x:c r="M16" s="11" t="str">
        <x:v>IT Case</x:v>
      </x:c>
      <x:c r="N16" s="11" t="str">
        <x:v>In-Charge (test)</x:v>
      </x:c>
      <x:c r="O16" s="11" t="str">
        <x:v>IT Deadline</x:v>
      </x:c>
      <x:c r="P16" s="11" t="str">
        <x:v>IT Result</x:v>
      </x:c>
      <x:c r="Q16" s="11" t="str">
        <x:v>Reviewer</x:v>
      </x:c>
      <x:c r="R16" s="11" t="str">
        <x:v>Review Deadline</x:v>
      </x:c>
      <x:c r="S16" s="11" t="str">
        <x:v>Notes / Acceptance</x:v>
      </x:c>
      <x:c r="T16" s="11" t="str">
        <x:v>UC / Task ID</x:v>
      </x:c>
      <x:c r="U16" s="11" t="str">
        <x:v>Implementation Owner</x:v>
      </x:c>
      <x:c r="V16" s="11" t="str">
        <x:v>Planned Start</x:v>
      </x:c>
      <x:c r="W16" s="11" t="str">
        <x:v>Code / Task Deadline</x:v>
      </x:c>
      <x:c r="X16" s="11" t="str">
        <x:v>Dev Complete %</x:v>
      </x:c>
      <x:c r="Y16" s="11" t="str">
        <x:v>Actual Effort (pd)</x:v>
      </x:c>
      <x:c r="Z16" s="11" t="str">
        <x:v>Dependencies</x:v>
      </x:c>
      <x:c r="AA16" s="11" t="str">
        <x:v>Scope State</x:v>
      </x:c>
      <x:c r="AB16" s="11" t="str">
        <x:v>Week 8 (pd)</x:v>
      </x:c>
      <x:c r="AC16" s="11" t="str">
        <x:v>Week 9 (pd)</x:v>
      </x:c>
      <x:c r="AD16" s="11" t="str">
        <x:v>Week 10 (pd)</x:v>
      </x:c>
      <x:c r="AE16" s="11" t="str">
        <x:v>Week 11 (pd)</x:v>
      </x:c>
      <x:c r="AF16" s="11" t="str">
        <x:v>Week 12 (pd)</x:v>
      </x:c>
      <x:c r="AG16" s="11" t="str">
        <x:v>Delivery Gate</x:v>
      </x:c>
      <x:c r="AH16" s="11" t="str">
        <x:v>Schedule Flag</x:v>
      </x:c>
    </x:row>
    <x:row r="17" ht="43" customHeight="1">
      <x:c r="A17" s="17" t="str">
        <x:v>UC-01 · View replenishment request list</x:v>
      </x:c>
      <x:c r="B17" s="2" t="str">
        <x:v>FE-01</x:v>
      </x:c>
      <x:c r="C17" s="17" t="str">
        <x:v>minhtd · Purchase, receiving and put-away</x:v>
      </x:c>
      <x:c r="D17" s="2" t="str">
        <x:v>Use case</x:v>
      </x:c>
      <x:c r="E17" s="17" t="str">
        <x:v>Sales and Warehouse Staff view their own/assigned replenishment needs; Owner and Accountant view within responsibility and warehouse scope.</x:v>
      </x:c>
      <x:c r="F17" s="2" t="str">
        <x:v>Simple</x:v>
      </x:c>
      <x:c r="G17" s="13" t="n">
        <x:f>SUM(AB17:AF17)</x:f>
        <x:v>0.25</x:v>
      </x:c>
      <x:c r="H17" s="2" t="str">
        <x:v>Iteration 1</x:v>
      </x:c>
      <x:c r="I17" s="21" t="str">
        <x:v>To Do</x:v>
      </x:c>
      <x:c r="J17" s="21" t="str">
        <x:v>Review due</x:v>
      </x:c>
      <x:c r="K17" s="2" t="str">
        <x:v>minhtd</x:v>
      </x:c>
      <x:c r="L17" s="4" t="d">
        <x:v>2026-11-27T00:00:00.000Z</x:v>
      </x:c>
      <x:c r="M17" s="21" t="str">
        <x:v>To Do</x:v>
      </x:c>
      <x:c r="N17" s="2" t="str">
        <x:v>hieudt</x:v>
      </x:c>
      <x:c r="O17" s="4" t="d">
        <x:v>2026-11-27T00:00:00.000Z</x:v>
      </x:c>
      <x:c r="P17" s="21" t="str">
        <x:v>Not Run</x:v>
      </x:c>
      <x:c r="Q17" s="2" t="str">
        <x:v>hieudt</x:v>
      </x:c>
      <x:c r="R17" s="4" t="d">
        <x:v>2026-11-27T00:00:00.000Z</x:v>
      </x:c>
      <x:c r="S17" s="17" t="str">
        <x:v>Complete = FE + API + business rules + authorization + unit tests + peer review + passed integration + synchronized documentation.</x:v>
      </x:c>
      <x:c r="T17" s="2" t="str">
        <x:v>UC-01</x:v>
      </x:c>
      <x:c r="U17" s="2" t="str">
        <x:v>minhtd</x:v>
      </x:c>
      <x:c r="V17" s="4" t="d">
        <x:v>2026-11-02T00:00:00.000Z</x:v>
      </x:c>
      <x:c r="W17" s="4" t="d">
        <x:v>2026-11-06T00:00:00.000Z</x:v>
      </x:c>
      <x:c r="X17" s="22" t="n">
        <x:v>0</x:v>
      </x:c>
      <x:c r="Y17" s="23"/>
      <x:c r="Z17" s="17" t="str">
        <x:v>Shared stock/UOM/permission contracts</x:v>
      </x:c>
      <x:c r="AA17" s="2" t="str">
        <x:v>ACTIVE</x:v>
      </x:c>
      <x:c r="AB17" s="23" t="n">
        <x:v>0</x:v>
      </x:c>
      <x:c r="AC17" s="23" t="n">
        <x:v>0.25</x:v>
      </x:c>
      <x:c r="AD17" s="23" t="n">
        <x:v>0</x:v>
      </x:c>
      <x:c r="AE17" s="23" t="n">
        <x:v>0</x:v>
      </x:c>
      <x:c r="AF17" s="23" t="n">
        <x:v>0</x:v>
      </x:c>
      <x:c r="AG17" s="2" t="str">
        <x:f>IF(AA17="RETIRED","Excluded",IF(AA17="ACTIVE",IF(AND(I17="Complete",J17="Reviewed",M17="Ready",P17="Passed",X17=1),"Accepted","Pending"),IF(AND(I17="Complete",J17="Reviewed"),"Done","Pending")))</x:f>
        <x:v>Pending</x:v>
      </x:c>
      <x:c r="AH17" s="2" t="str">
        <x:f>IF(AA17="RETIRED","Excluded",IF(OR(AG17="Accepted",AG17="Done"),"Done",IF(ISNUMBER(W17),IF(W17&lt;$N$3,"Overdue","Planned"),"Verify baseline")))</x:f>
        <x:v>Planned</x:v>
      </x:c>
    </x:row>
    <x:row r="18" ht="43" customHeight="1">
      <x:c r="A18" s="17" t="str">
        <x:v>UC-02 · View replenishment request details</x:v>
      </x:c>
      <x:c r="B18" s="2" t="str">
        <x:v>FE-01</x:v>
      </x:c>
      <x:c r="C18" s="17" t="str">
        <x:v>minhtd · Purchase, receiving and put-away</x:v>
      </x:c>
      <x:c r="D18" s="2" t="str">
        <x:v>Use case</x:v>
      </x:c>
      <x:c r="E18" s="17" t="str">
        <x:v>Show requested and available quantities, source demand, pending supply allocations and versioned approval history within authorized scope.</x:v>
      </x:c>
      <x:c r="F18" s="2" t="str">
        <x:v>Simple</x:v>
      </x:c>
      <x:c r="G18" s="13" t="n">
        <x:f>SUM(AB18:AF18)</x:f>
        <x:v>0.25</x:v>
      </x:c>
      <x:c r="H18" s="2" t="str">
        <x:v>Iteration 1</x:v>
      </x:c>
      <x:c r="I18" s="21" t="str">
        <x:v>To Do</x:v>
      </x:c>
      <x:c r="J18" s="21" t="str">
        <x:v>Review due</x:v>
      </x:c>
      <x:c r="K18" s="2" t="str">
        <x:v>minhtd</x:v>
      </x:c>
      <x:c r="L18" s="4" t="d">
        <x:v>2026-11-27T00:00:00.000Z</x:v>
      </x:c>
      <x:c r="M18" s="21" t="str">
        <x:v>To Do</x:v>
      </x:c>
      <x:c r="N18" s="2" t="str">
        <x:v>hieudt</x:v>
      </x:c>
      <x:c r="O18" s="4" t="d">
        <x:v>2026-11-27T00:00:00.000Z</x:v>
      </x:c>
      <x:c r="P18" s="21" t="str">
        <x:v>Not Run</x:v>
      </x:c>
      <x:c r="Q18" s="2" t="str">
        <x:v>hieudt</x:v>
      </x:c>
      <x:c r="R18" s="4" t="d">
        <x:v>2026-11-27T00:00:00.000Z</x:v>
      </x:c>
      <x:c r="S18" s="17" t="str">
        <x:v>Complete = FE + API + business rules + authorization + unit tests + peer review + passed integration + synchronized documentation.</x:v>
      </x:c>
      <x:c r="T18" s="2" t="str">
        <x:v>UC-02</x:v>
      </x:c>
      <x:c r="U18" s="2" t="str">
        <x:v>minhtd</x:v>
      </x:c>
      <x:c r="V18" s="4" t="d">
        <x:v>2026-11-02T00:00:00.000Z</x:v>
      </x:c>
      <x:c r="W18" s="4" t="d">
        <x:v>2026-11-06T00:00:00.000Z</x:v>
      </x:c>
      <x:c r="X18" s="22" t="n">
        <x:v>0</x:v>
      </x:c>
      <x:c r="Y18" s="23"/>
      <x:c r="Z18" s="17" t="str">
        <x:v>Shared stock/UOM/permission contracts</x:v>
      </x:c>
      <x:c r="AA18" s="2" t="str">
        <x:v>ACTIVE</x:v>
      </x:c>
      <x:c r="AB18" s="23" t="n">
        <x:v>0</x:v>
      </x:c>
      <x:c r="AC18" s="23" t="n">
        <x:v>0.25</x:v>
      </x:c>
      <x:c r="AD18" s="23" t="n">
        <x:v>0</x:v>
      </x:c>
      <x:c r="AE18" s="23" t="n">
        <x:v>0</x:v>
      </x:c>
      <x:c r="AF18" s="23" t="n">
        <x:v>0</x:v>
      </x:c>
      <x:c r="AG18" s="2" t="str">
        <x:f>IF(AA18="RETIRED","Excluded",IF(AA18="ACTIVE",IF(AND(I18="Complete",J18="Reviewed",M18="Ready",P18="Passed",X18=1),"Accepted","Pending"),IF(AND(I18="Complete",J18="Reviewed"),"Done","Pending")))</x:f>
        <x:v>Pending</x:v>
      </x:c>
      <x:c r="AH18" s="2" t="str">
        <x:f>IF(AA18="RETIRED","Excluded",IF(OR(AG18="Accepted",AG18="Done"),"Done",IF(ISNUMBER(W18),IF(W18&lt;$N$3,"Overdue","Planned"),"Verify baseline")))</x:f>
        <x:v>Planned</x:v>
      </x:c>
    </x:row>
    <x:row r="19" ht="48" customHeight="1">
      <x:c r="A19" s="17" t="str">
        <x:v>UC-03 · Create replenishment request</x:v>
      </x:c>
      <x:c r="B19" s="2" t="str">
        <x:v>FE-01</x:v>
      </x:c>
      <x:c r="C19" s="17" t="str">
        <x:v>minhtd · Purchase, receiving and put-away</x:v>
      </x:c>
      <x:c r="D19" s="2" t="str">
        <x:v>Use case</x:v>
      </x:c>
      <x:c r="E19" s="17" t="str">
        <x:v>Sales Staff raises customer shortages; Warehouse Staff raises stock needs after checking compatible stock, existing PO/transfer supply and minimum levels. Accountant does not originate operational demand.</x:v>
      </x:c>
      <x:c r="F19" s="2" t="str">
        <x:v>Medium</x:v>
      </x:c>
      <x:c r="G19" s="13" t="n">
        <x:f>SUM(AB19:AF19)</x:f>
        <x:v>1</x:v>
      </x:c>
      <x:c r="H19" s="2" t="str">
        <x:v>Iteration 1</x:v>
      </x:c>
      <x:c r="I19" s="21" t="str">
        <x:v>To Do</x:v>
      </x:c>
      <x:c r="J19" s="21" t="str">
        <x:v>Review due</x:v>
      </x:c>
      <x:c r="K19" s="2" t="str">
        <x:v>minhtd</x:v>
      </x:c>
      <x:c r="L19" s="4" t="d">
        <x:v>2026-11-27T00:00:00.000Z</x:v>
      </x:c>
      <x:c r="M19" s="21" t="str">
        <x:v>To Do</x:v>
      </x:c>
      <x:c r="N19" s="2" t="str">
        <x:v>hieudt</x:v>
      </x:c>
      <x:c r="O19" s="4" t="d">
        <x:v>2026-11-27T00:00:00.000Z</x:v>
      </x:c>
      <x:c r="P19" s="21" t="str">
        <x:v>Not Run</x:v>
      </x:c>
      <x:c r="Q19" s="2" t="str">
        <x:v>hieudt</x:v>
      </x:c>
      <x:c r="R19" s="4" t="d">
        <x:v>2026-11-27T00:00:00.000Z</x:v>
      </x:c>
      <x:c r="S19" s="17" t="str">
        <x:v>Complete = FE + API + business rules + authorization + unit tests + peer review + passed integration + synchronized documentation.</x:v>
      </x:c>
      <x:c r="T19" s="2" t="str">
        <x:v>UC-03</x:v>
      </x:c>
      <x:c r="U19" s="2" t="str">
        <x:v>minhtd</x:v>
      </x:c>
      <x:c r="V19" s="4" t="d">
        <x:v>2026-11-02T00:00:00.000Z</x:v>
      </x:c>
      <x:c r="W19" s="4" t="d">
        <x:v>2026-11-06T00:00:00.000Z</x:v>
      </x:c>
      <x:c r="X19" s="22" t="n">
        <x:v>0</x:v>
      </x:c>
      <x:c r="Y19" s="23"/>
      <x:c r="Z19" s="17" t="str">
        <x:v>Shared stock/UOM/permission contracts</x:v>
      </x:c>
      <x:c r="AA19" s="2" t="str">
        <x:v>ACTIVE</x:v>
      </x:c>
      <x:c r="AB19" s="23" t="n">
        <x:v>0</x:v>
      </x:c>
      <x:c r="AC19" s="23" t="n">
        <x:v>1</x:v>
      </x:c>
      <x:c r="AD19" s="23" t="n">
        <x:v>0</x:v>
      </x:c>
      <x:c r="AE19" s="23" t="n">
        <x:v>0</x:v>
      </x:c>
      <x:c r="AF19" s="23" t="n">
        <x:v>0</x:v>
      </x:c>
      <x:c r="AG19" s="2" t="str">
        <x:f>IF(AA19="RETIRED","Excluded",IF(AA19="ACTIVE",IF(AND(I19="Complete",J19="Reviewed",M19="Ready",P19="Passed",X19=1),"Accepted","Pending"),IF(AND(I19="Complete",J19="Reviewed"),"Done","Pending")))</x:f>
        <x:v>Pending</x:v>
      </x:c>
      <x:c r="AH19" s="2" t="str">
        <x:f>IF(AA19="RETIRED","Excluded",IF(OR(AG19="Accepted",AG19="Done"),"Done",IF(ISNUMBER(W19),IF(W19&lt;$N$3,"Overdue","Planned"),"Verify baseline")))</x:f>
        <x:v>Planned</x:v>
      </x:c>
    </x:row>
    <x:row r="20" ht="48" customHeight="1">
      <x:c r="A20" s="17" t="str">
        <x:v>UC-04 · Approve or reject replenishment request</x:v>
      </x:c>
      <x:c r="B20" s="2" t="str">
        <x:v>FE-01</x:v>
      </x:c>
      <x:c r="C20" s="17" t="str">
        <x:v>minhtd · Purchase, receiving and put-away</x:v>
      </x:c>
      <x:c r="D20" s="2" t="str">
        <x:v>Use case</x:v>
      </x:c>
      <x:c r="E20" s="17" t="str">
        <x:v>Store Owner approves, rejects or returns the exact request version for revision. Requester and approver must be different userIds; no PO before approval.</x:v>
      </x:c>
      <x:c r="F20" s="2" t="str">
        <x:v>Medium</x:v>
      </x:c>
      <x:c r="G20" s="13" t="n">
        <x:f>SUM(AB20:AF20)</x:f>
        <x:v>1</x:v>
      </x:c>
      <x:c r="H20" s="2" t="str">
        <x:v>Iteration 1</x:v>
      </x:c>
      <x:c r="I20" s="21" t="str">
        <x:v>To Do</x:v>
      </x:c>
      <x:c r="J20" s="21" t="str">
        <x:v>Review due</x:v>
      </x:c>
      <x:c r="K20" s="2" t="str">
        <x:v>minhtd</x:v>
      </x:c>
      <x:c r="L20" s="4" t="d">
        <x:v>2026-11-27T00:00:00.000Z</x:v>
      </x:c>
      <x:c r="M20" s="21" t="str">
        <x:v>To Do</x:v>
      </x:c>
      <x:c r="N20" s="2" t="str">
        <x:v>hieudt</x:v>
      </x:c>
      <x:c r="O20" s="4" t="d">
        <x:v>2026-11-27T00:00:00.000Z</x:v>
      </x:c>
      <x:c r="P20" s="21" t="str">
        <x:v>Not Run</x:v>
      </x:c>
      <x:c r="Q20" s="2" t="str">
        <x:v>hieudt</x:v>
      </x:c>
      <x:c r="R20" s="4" t="d">
        <x:v>2026-11-27T00:00:00.000Z</x:v>
      </x:c>
      <x:c r="S20" s="17" t="str">
        <x:v>Complete = FE + API + business rules + authorization + unit tests + peer review + passed integration + synchronized documentation.</x:v>
      </x:c>
      <x:c r="T20" s="2" t="str">
        <x:v>UC-04</x:v>
      </x:c>
      <x:c r="U20" s="2" t="str">
        <x:v>minhtd</x:v>
      </x:c>
      <x:c r="V20" s="4" t="d">
        <x:v>2026-11-02T00:00:00.000Z</x:v>
      </x:c>
      <x:c r="W20" s="4" t="d">
        <x:v>2026-11-06T00:00:00.000Z</x:v>
      </x:c>
      <x:c r="X20" s="22" t="n">
        <x:v>0</x:v>
      </x:c>
      <x:c r="Y20" s="23"/>
      <x:c r="Z20" s="17" t="str">
        <x:v>Shared stock/UOM/permission contracts</x:v>
      </x:c>
      <x:c r="AA20" s="2" t="str">
        <x:v>ACTIVE</x:v>
      </x:c>
      <x:c r="AB20" s="23" t="n">
        <x:v>0</x:v>
      </x:c>
      <x:c r="AC20" s="23" t="n">
        <x:v>1</x:v>
      </x:c>
      <x:c r="AD20" s="23" t="n">
        <x:v>0</x:v>
      </x:c>
      <x:c r="AE20" s="23" t="n">
        <x:v>0</x:v>
      </x:c>
      <x:c r="AF20" s="23" t="n">
        <x:v>0</x:v>
      </x:c>
      <x:c r="AG20" s="2" t="str">
        <x:f>IF(AA20="RETIRED","Excluded",IF(AA20="ACTIVE",IF(AND(I20="Complete",J20="Reviewed",M20="Ready",P20="Passed",X20=1),"Accepted","Pending"),IF(AND(I20="Complete",J20="Reviewed"),"Done","Pending")))</x:f>
        <x:v>Pending</x:v>
      </x:c>
      <x:c r="AH20" s="2" t="str">
        <x:f>IF(AA20="RETIRED","Excluded",IF(OR(AG20="Accepted",AG20="Done"),"Done",IF(ISNUMBER(W20),IF(W20&lt;$N$3,"Overdue","Planned"),"Verify baseline")))</x:f>
        <x:v>Planned</x:v>
      </x:c>
    </x:row>
    <x:row r="21" ht="43" customHeight="1">
      <x:c r="A21" s="17" t="str">
        <x:v>UC-05 · View purchase order list</x:v>
      </x:c>
      <x:c r="B21" s="2" t="str">
        <x:v>FE-01</x:v>
      </x:c>
      <x:c r="C21" s="17" t="str">
        <x:v>minhtd · Purchase, receiving and put-away</x:v>
      </x:c>
      <x:c r="D21" s="2" t="str">
        <x:v>Use case</x:v>
      </x:c>
      <x:c r="E21" s="17" t="str">
        <x:v>Filter orders by supplier, date, status, and outstanding quantity.</x:v>
      </x:c>
      <x:c r="F21" s="2" t="str">
        <x:v>Simple</x:v>
      </x:c>
      <x:c r="G21" s="13" t="n">
        <x:f>SUM(AB21:AF21)</x:f>
        <x:v>0.25</x:v>
      </x:c>
      <x:c r="H21" s="2" t="str">
        <x:v>Iteration 1</x:v>
      </x:c>
      <x:c r="I21" s="21" t="str">
        <x:v>To Do</x:v>
      </x:c>
      <x:c r="J21" s="21" t="str">
        <x:v>Review due</x:v>
      </x:c>
      <x:c r="K21" s="2" t="str">
        <x:v>minhtd</x:v>
      </x:c>
      <x:c r="L21" s="4" t="d">
        <x:v>2026-11-27T00:00:00.000Z</x:v>
      </x:c>
      <x:c r="M21" s="21" t="str">
        <x:v>To Do</x:v>
      </x:c>
      <x:c r="N21" s="2" t="str">
        <x:v>hieudt</x:v>
      </x:c>
      <x:c r="O21" s="4" t="d">
        <x:v>2026-11-27T00:00:00.000Z</x:v>
      </x:c>
      <x:c r="P21" s="21" t="str">
        <x:v>Not Run</x:v>
      </x:c>
      <x:c r="Q21" s="2" t="str">
        <x:v>hieudt</x:v>
      </x:c>
      <x:c r="R21" s="4" t="d">
        <x:v>2026-11-27T00:00:00.000Z</x:v>
      </x:c>
      <x:c r="S21" s="17" t="str">
        <x:v>Complete = FE + API + business rules + authorization + unit tests + peer review + passed integration + synchronized documentation.</x:v>
      </x:c>
      <x:c r="T21" s="2" t="str">
        <x:v>UC-05</x:v>
      </x:c>
      <x:c r="U21" s="2" t="str">
        <x:v>minhtd</x:v>
      </x:c>
      <x:c r="V21" s="4" t="d">
        <x:v>2026-11-02T00:00:00.000Z</x:v>
      </x:c>
      <x:c r="W21" s="4" t="d">
        <x:v>2026-11-06T00:00:00.000Z</x:v>
      </x:c>
      <x:c r="X21" s="22" t="n">
        <x:v>0</x:v>
      </x:c>
      <x:c r="Y21" s="23"/>
      <x:c r="Z21" s="17" t="str">
        <x:v>Shared stock/UOM/permission contracts</x:v>
      </x:c>
      <x:c r="AA21" s="2" t="str">
        <x:v>ACTIVE</x:v>
      </x:c>
      <x:c r="AB21" s="23" t="n">
        <x:v>0</x:v>
      </x:c>
      <x:c r="AC21" s="23" t="n">
        <x:v>0.25</x:v>
      </x:c>
      <x:c r="AD21" s="23" t="n">
        <x:v>0</x:v>
      </x:c>
      <x:c r="AE21" s="23" t="n">
        <x:v>0</x:v>
      </x:c>
      <x:c r="AF21" s="23" t="n">
        <x:v>0</x:v>
      </x:c>
      <x:c r="AG21" s="2" t="str">
        <x:f>IF(AA21="RETIRED","Excluded",IF(AA21="ACTIVE",IF(AND(I21="Complete",J21="Reviewed",M21="Ready",P21="Passed",X21=1),"Accepted","Pending"),IF(AND(I21="Complete",J21="Reviewed"),"Done","Pending")))</x:f>
        <x:v>Pending</x:v>
      </x:c>
      <x:c r="AH21" s="2" t="str">
        <x:f>IF(AA21="RETIRED","Excluded",IF(OR(AG21="Accepted",AG21="Done"),"Done",IF(ISNUMBER(W21),IF(W21&lt;$N$3,"Overdue","Planned"),"Verify baseline")))</x:f>
        <x:v>Planned</x:v>
      </x:c>
    </x:row>
    <x:row r="22" ht="61" customHeight="1">
      <x:c r="A22" s="17" t="str">
        <x:v>UC-06 · View purchase order details</x:v>
      </x:c>
      <x:c r="B22" s="2" t="str">
        <x:v>FE-01</x:v>
      </x:c>
      <x:c r="C22" s="17" t="str">
        <x:v>minhtd · Purchase, receiving and put-away</x:v>
      </x:c>
      <x:c r="D22" s="2" t="str">
        <x:v>Use case</x:v>
      </x:c>
      <x:c r="E22" s="17" t="str">
        <x:v>Display order lines, supplier confirmations, and partial receipt history. Display ordered, confirmed, received, accepted and outstanding quantities with source receipts. This is read-only, not a separate outstanding-quantity UC.</x:v>
      </x:c>
      <x:c r="F22" s="2" t="str">
        <x:v>Simple</x:v>
      </x:c>
      <x:c r="G22" s="13" t="n">
        <x:f>SUM(AB22:AF22)</x:f>
        <x:v>0.25</x:v>
      </x:c>
      <x:c r="H22" s="2" t="str">
        <x:v>Iteration 2</x:v>
      </x:c>
      <x:c r="I22" s="21" t="str">
        <x:v>To Do</x:v>
      </x:c>
      <x:c r="J22" s="21" t="str">
        <x:v>Review due</x:v>
      </x:c>
      <x:c r="K22" s="2" t="str">
        <x:v>minhtd</x:v>
      </x:c>
      <x:c r="L22" s="4" t="d">
        <x:v>2026-11-27T00:00:00.000Z</x:v>
      </x:c>
      <x:c r="M22" s="21" t="str">
        <x:v>To Do</x:v>
      </x:c>
      <x:c r="N22" s="2" t="str">
        <x:v>hieudt</x:v>
      </x:c>
      <x:c r="O22" s="4" t="d">
        <x:v>2026-11-27T00:00:00.000Z</x:v>
      </x:c>
      <x:c r="P22" s="21" t="str">
        <x:v>Not Run</x:v>
      </x:c>
      <x:c r="Q22" s="2" t="str">
        <x:v>hieudt</x:v>
      </x:c>
      <x:c r="R22" s="4" t="d">
        <x:v>2026-11-27T00:00:00.000Z</x:v>
      </x:c>
      <x:c r="S22" s="17" t="str">
        <x:v>Complete = FE + API + business rules + authorization + unit tests + peer review + passed integration + synchronized documentation.</x:v>
      </x:c>
      <x:c r="T22" s="2" t="str">
        <x:v>UC-06</x:v>
      </x:c>
      <x:c r="U22" s="2" t="str">
        <x:v>minhtd</x:v>
      </x:c>
      <x:c r="V22" s="4" t="d">
        <x:v>2026-11-09T00:00:00.000Z</x:v>
      </x:c>
      <x:c r="W22" s="4" t="d">
        <x:v>2026-11-13T00:00:00.000Z</x:v>
      </x:c>
      <x:c r="X22" s="22" t="n">
        <x:v>0</x:v>
      </x:c>
      <x:c r="Y22" s="23"/>
      <x:c r="Z22" s="17" t="str">
        <x:v>Shared stock/UOM/permission contracts</x:v>
      </x:c>
      <x:c r="AA22" s="2" t="str">
        <x:v>ACTIVE</x:v>
      </x:c>
      <x:c r="AB22" s="23" t="n">
        <x:v>0</x:v>
      </x:c>
      <x:c r="AC22" s="23" t="n">
        <x:v>0</x:v>
      </x:c>
      <x:c r="AD22" s="23" t="n">
        <x:v>0.25</x:v>
      </x:c>
      <x:c r="AE22" s="23" t="n">
        <x:v>0</x:v>
      </x:c>
      <x:c r="AF22" s="23" t="n">
        <x:v>0</x:v>
      </x:c>
      <x:c r="AG22" s="2" t="str">
        <x:f>IF(AA22="RETIRED","Excluded",IF(AA22="ACTIVE",IF(AND(I22="Complete",J22="Reviewed",M22="Ready",P22="Passed",X22=1),"Accepted","Pending"),IF(AND(I22="Complete",J22="Reviewed"),"Done","Pending")))</x:f>
        <x:v>Pending</x:v>
      </x:c>
      <x:c r="AH22" s="2" t="str">
        <x:f>IF(AA22="RETIRED","Excluded",IF(OR(AG22="Accepted",AG22="Done"),"Done",IF(ISNUMBER(W22),IF(W22&lt;$N$3,"Overdue","Planned"),"Verify baseline")))</x:f>
        <x:v>Planned</x:v>
      </x:c>
    </x:row>
    <x:row r="23" ht="48" customHeight="1">
      <x:c r="A23" s="17" t="str">
        <x:v>UC-07 · Manage Purchase Order and Supplier Confirmation</x:v>
      </x:c>
      <x:c r="B23" s="2" t="str">
        <x:v>FE-01</x:v>
      </x:c>
      <x:c r="C23" s="17" t="str">
        <x:v>minhtd · Purchase, receiving and put-away</x:v>
      </x:c>
      <x:c r="D23" s="2" t="str">
        <x:v>Use case</x:v>
      </x:c>
      <x:c r="E23" s="17" t="str">
        <x:v>Accountant creates a PO against approved replenishment lines, records supplier confirmation and tracks partial receipts. Changes beyond approval require reapproval; no supplier payment.</x:v>
      </x:c>
      <x:c r="F23" s="2" t="str">
        <x:v>Medium</x:v>
      </x:c>
      <x:c r="G23" s="13" t="n">
        <x:f>SUM(AB23:AF23)</x:f>
        <x:v>1</x:v>
      </x:c>
      <x:c r="H23" s="2" t="str">
        <x:v>Iteration 2</x:v>
      </x:c>
      <x:c r="I23" s="21" t="str">
        <x:v>To Do</x:v>
      </x:c>
      <x:c r="J23" s="21" t="str">
        <x:v>Review due</x:v>
      </x:c>
      <x:c r="K23" s="2" t="str">
        <x:v>minhtd</x:v>
      </x:c>
      <x:c r="L23" s="4" t="d">
        <x:v>2026-11-27T00:00:00.000Z</x:v>
      </x:c>
      <x:c r="M23" s="21" t="str">
        <x:v>To Do</x:v>
      </x:c>
      <x:c r="N23" s="2" t="str">
        <x:v>hieudt</x:v>
      </x:c>
      <x:c r="O23" s="4" t="d">
        <x:v>2026-11-27T00:00:00.000Z</x:v>
      </x:c>
      <x:c r="P23" s="21" t="str">
        <x:v>Not Run</x:v>
      </x:c>
      <x:c r="Q23" s="2" t="str">
        <x:v>hieudt</x:v>
      </x:c>
      <x:c r="R23" s="4" t="d">
        <x:v>2026-11-27T00:00:00.000Z</x:v>
      </x:c>
      <x:c r="S23" s="17" t="str">
        <x:v>Complete = FE + API + business rules + authorization + unit tests + peer review + passed integration + synchronized documentation.</x:v>
      </x:c>
      <x:c r="T23" s="2" t="str">
        <x:v>UC-07</x:v>
      </x:c>
      <x:c r="U23" s="2" t="str">
        <x:v>minhtd</x:v>
      </x:c>
      <x:c r="V23" s="4" t="d">
        <x:v>2026-11-09T00:00:00.000Z</x:v>
      </x:c>
      <x:c r="W23" s="4" t="d">
        <x:v>2026-11-13T00:00:00.000Z</x:v>
      </x:c>
      <x:c r="X23" s="22" t="n">
        <x:v>0</x:v>
      </x:c>
      <x:c r="Y23" s="23"/>
      <x:c r="Z23" s="17" t="str">
        <x:v>Shared stock/UOM/permission contracts</x:v>
      </x:c>
      <x:c r="AA23" s="2" t="str">
        <x:v>ACTIVE</x:v>
      </x:c>
      <x:c r="AB23" s="23" t="n">
        <x:v>0</x:v>
      </x:c>
      <x:c r="AC23" s="23" t="n">
        <x:v>0</x:v>
      </x:c>
      <x:c r="AD23" s="23" t="n">
        <x:v>1</x:v>
      </x:c>
      <x:c r="AE23" s="23" t="n">
        <x:v>0</x:v>
      </x:c>
      <x:c r="AF23" s="23" t="n">
        <x:v>0</x:v>
      </x:c>
      <x:c r="AG23" s="2" t="str">
        <x:f>IF(AA23="RETIRED","Excluded",IF(AA23="ACTIVE",IF(AND(I23="Complete",J23="Reviewed",M23="Ready",P23="Passed",X23=1),"Accepted","Pending"),IF(AND(I23="Complete",J23="Reviewed"),"Done","Pending")))</x:f>
        <x:v>Pending</x:v>
      </x:c>
      <x:c r="AH23" s="2" t="str">
        <x:f>IF(AA23="RETIRED","Excluded",IF(OR(AG23="Accepted",AG23="Done"),"Done",IF(ISNUMBER(W23),IF(W23&lt;$N$3,"Overdue","Planned"),"Verify baseline")))</x:f>
        <x:v>Planned</x:v>
      </x:c>
    </x:row>
    <x:row r="24" ht="43" customHeight="1">
      <x:c r="A24" s="17" t="str">
        <x:v>UC-08 · View goods receipt list</x:v>
      </x:c>
      <x:c r="B24" s="2" t="str">
        <x:v>FE-01</x:v>
      </x:c>
      <x:c r="C24" s="17" t="str">
        <x:v>minhtd · Purchase, receiving and put-away</x:v>
      </x:c>
      <x:c r="D24" s="2" t="str">
        <x:v>Use case</x:v>
      </x:c>
      <x:c r="E24" s="17" t="str">
        <x:v>Search deliveries associated with purchase orders and their processing status.</x:v>
      </x:c>
      <x:c r="F24" s="2" t="str">
        <x:v>Simple</x:v>
      </x:c>
      <x:c r="G24" s="13" t="n">
        <x:f>SUM(AB24:AF24)</x:f>
        <x:v>0.25</x:v>
      </x:c>
      <x:c r="H24" s="2" t="str">
        <x:v>Iteration 2</x:v>
      </x:c>
      <x:c r="I24" s="21" t="str">
        <x:v>To Do</x:v>
      </x:c>
      <x:c r="J24" s="21" t="str">
        <x:v>Review due</x:v>
      </x:c>
      <x:c r="K24" s="2" t="str">
        <x:v>minhtd</x:v>
      </x:c>
      <x:c r="L24" s="4" t="d">
        <x:v>2026-11-27T00:00:00.000Z</x:v>
      </x:c>
      <x:c r="M24" s="21" t="str">
        <x:v>To Do</x:v>
      </x:c>
      <x:c r="N24" s="2" t="str">
        <x:v>hieudt</x:v>
      </x:c>
      <x:c r="O24" s="4" t="d">
        <x:v>2026-11-27T00:00:00.000Z</x:v>
      </x:c>
      <x:c r="P24" s="21" t="str">
        <x:v>Not Run</x:v>
      </x:c>
      <x:c r="Q24" s="2" t="str">
        <x:v>hieudt</x:v>
      </x:c>
      <x:c r="R24" s="4" t="d">
        <x:v>2026-11-27T00:00:00.000Z</x:v>
      </x:c>
      <x:c r="S24" s="17" t="str">
        <x:v>Complete = FE + API + business rules + authorization + unit tests + peer review + passed integration + synchronized documentation.</x:v>
      </x:c>
      <x:c r="T24" s="2" t="str">
        <x:v>UC-08</x:v>
      </x:c>
      <x:c r="U24" s="2" t="str">
        <x:v>minhtd</x:v>
      </x:c>
      <x:c r="V24" s="4" t="d">
        <x:v>2026-11-09T00:00:00.000Z</x:v>
      </x:c>
      <x:c r="W24" s="4" t="d">
        <x:v>2026-11-13T00:00:00.000Z</x:v>
      </x:c>
      <x:c r="X24" s="22" t="n">
        <x:v>0</x:v>
      </x:c>
      <x:c r="Y24" s="23"/>
      <x:c r="Z24" s="17" t="str">
        <x:v>Shared stock/UOM/permission contracts</x:v>
      </x:c>
      <x:c r="AA24" s="2" t="str">
        <x:v>ACTIVE</x:v>
      </x:c>
      <x:c r="AB24" s="23" t="n">
        <x:v>0</x:v>
      </x:c>
      <x:c r="AC24" s="23" t="n">
        <x:v>0</x:v>
      </x:c>
      <x:c r="AD24" s="23" t="n">
        <x:v>0.25</x:v>
      </x:c>
      <x:c r="AE24" s="23" t="n">
        <x:v>0</x:v>
      </x:c>
      <x:c r="AF24" s="23" t="n">
        <x:v>0</x:v>
      </x:c>
      <x:c r="AG24" s="2" t="str">
        <x:f>IF(AA24="RETIRED","Excluded",IF(AA24="ACTIVE",IF(AND(I24="Complete",J24="Reviewed",M24="Ready",P24="Passed",X24=1),"Accepted","Pending"),IF(AND(I24="Complete",J24="Reviewed"),"Done","Pending")))</x:f>
        <x:v>Pending</x:v>
      </x:c>
      <x:c r="AH24" s="2" t="str">
        <x:f>IF(AA24="RETIRED","Excluded",IF(OR(AG24="Accepted",AG24="Done"),"Done",IF(ISNUMBER(W24),IF(W24&lt;$N$3,"Overdue","Planned"),"Verify baseline")))</x:f>
        <x:v>Planned</x:v>
      </x:c>
    </x:row>
    <x:row r="25" ht="43" customHeight="1">
      <x:c r="A25" s="17" t="str">
        <x:v>UC-09 · View goods receipt details</x:v>
      </x:c>
      <x:c r="B25" s="2" t="str">
        <x:v>FE-01</x:v>
      </x:c>
      <x:c r="C25" s="17" t="str">
        <x:v>minhtd · Purchase, receiving and put-away</x:v>
      </x:c>
      <x:c r="D25" s="2" t="str">
        <x:v>Use case</x:v>
      </x:c>
      <x:c r="E25" s="17" t="str">
        <x:v>Display delivered, accepted, pending inspection, defective, and rejected quantities.</x:v>
      </x:c>
      <x:c r="F25" s="2" t="str">
        <x:v>Simple</x:v>
      </x:c>
      <x:c r="G25" s="13" t="n">
        <x:f>SUM(AB25:AF25)</x:f>
        <x:v>0.25</x:v>
      </x:c>
      <x:c r="H25" s="2" t="str">
        <x:v>Iteration 2</x:v>
      </x:c>
      <x:c r="I25" s="21" t="str">
        <x:v>To Do</x:v>
      </x:c>
      <x:c r="J25" s="21" t="str">
        <x:v>Review due</x:v>
      </x:c>
      <x:c r="K25" s="2" t="str">
        <x:v>minhtd</x:v>
      </x:c>
      <x:c r="L25" s="4" t="d">
        <x:v>2026-11-27T00:00:00.000Z</x:v>
      </x:c>
      <x:c r="M25" s="21" t="str">
        <x:v>To Do</x:v>
      </x:c>
      <x:c r="N25" s="2" t="str">
        <x:v>hieudt</x:v>
      </x:c>
      <x:c r="O25" s="4" t="d">
        <x:v>2026-11-27T00:00:00.000Z</x:v>
      </x:c>
      <x:c r="P25" s="21" t="str">
        <x:v>Not Run</x:v>
      </x:c>
      <x:c r="Q25" s="2" t="str">
        <x:v>hieudt</x:v>
      </x:c>
      <x:c r="R25" s="4" t="d">
        <x:v>2026-11-27T00:00:00.000Z</x:v>
      </x:c>
      <x:c r="S25" s="17" t="str">
        <x:v>Complete = FE + API + business rules + authorization + unit tests + peer review + passed integration + synchronized documentation.</x:v>
      </x:c>
      <x:c r="T25" s="2" t="str">
        <x:v>UC-09</x:v>
      </x:c>
      <x:c r="U25" s="2" t="str">
        <x:v>minhtd</x:v>
      </x:c>
      <x:c r="V25" s="4" t="d">
        <x:v>2026-11-09T00:00:00.000Z</x:v>
      </x:c>
      <x:c r="W25" s="4" t="d">
        <x:v>2026-11-13T00:00:00.000Z</x:v>
      </x:c>
      <x:c r="X25" s="22" t="n">
        <x:v>0</x:v>
      </x:c>
      <x:c r="Y25" s="23"/>
      <x:c r="Z25" s="17" t="str">
        <x:v>Shared stock/UOM/permission contracts</x:v>
      </x:c>
      <x:c r="AA25" s="2" t="str">
        <x:v>ACTIVE</x:v>
      </x:c>
      <x:c r="AB25" s="23" t="n">
        <x:v>0</x:v>
      </x:c>
      <x:c r="AC25" s="23" t="n">
        <x:v>0</x:v>
      </x:c>
      <x:c r="AD25" s="23" t="n">
        <x:v>0.25</x:v>
      </x:c>
      <x:c r="AE25" s="23" t="n">
        <x:v>0</x:v>
      </x:c>
      <x:c r="AF25" s="23" t="n">
        <x:v>0</x:v>
      </x:c>
      <x:c r="AG25" s="2" t="str">
        <x:f>IF(AA25="RETIRED","Excluded",IF(AA25="ACTIVE",IF(AND(I25="Complete",J25="Reviewed",M25="Ready",P25="Passed",X25=1),"Accepted","Pending"),IF(AND(I25="Complete",J25="Reviewed"),"Done","Pending")))</x:f>
        <x:v>Pending</x:v>
      </x:c>
      <x:c r="AH25" s="2" t="str">
        <x:f>IF(AA25="RETIRED","Excluded",IF(OR(AG25="Accepted",AG25="Done"),"Done",IF(ISNUMBER(W25),IF(W25&lt;$N$3,"Overdue","Planned"),"Verify baseline")))</x:f>
        <x:v>Planned</x:v>
      </x:c>
    </x:row>
    <x:row r="26" ht="48" customHeight="1">
      <x:c r="A26" s="17" t="str">
        <x:v>UC-10 · Create goods receipt from purchase order</x:v>
      </x:c>
      <x:c r="B26" s="2" t="str">
        <x:v>FE-01</x:v>
      </x:c>
      <x:c r="C26" s="17" t="str">
        <x:v>minhtd · Purchase, receiving and put-away</x:v>
      </x:c>
      <x:c r="D26" s="2" t="str">
        <x:v>Use case</x:v>
      </x:c>
      <x:c r="E26" s="17" t="str">
        <x:v>Warehouse Staff records each delivery against PO lines, including actual quantities, discrepancies and evidence; creating the draft does not post inventory.</x:v>
      </x:c>
      <x:c r="F26" s="2" t="str">
        <x:v>Medium</x:v>
      </x:c>
      <x:c r="G26" s="13" t="n">
        <x:f>SUM(AB26:AF26)</x:f>
        <x:v>1</x:v>
      </x:c>
      <x:c r="H26" s="2" t="str">
        <x:v>Iteration 2</x:v>
      </x:c>
      <x:c r="I26" s="21" t="str">
        <x:v>To Do</x:v>
      </x:c>
      <x:c r="J26" s="21" t="str">
        <x:v>Review due</x:v>
      </x:c>
      <x:c r="K26" s="2" t="str">
        <x:v>minhtd</x:v>
      </x:c>
      <x:c r="L26" s="4" t="d">
        <x:v>2026-11-27T00:00:00.000Z</x:v>
      </x:c>
      <x:c r="M26" s="21" t="str">
        <x:v>To Do</x:v>
      </x:c>
      <x:c r="N26" s="2" t="str">
        <x:v>hieudt</x:v>
      </x:c>
      <x:c r="O26" s="4" t="d">
        <x:v>2026-11-27T00:00:00.000Z</x:v>
      </x:c>
      <x:c r="P26" s="21" t="str">
        <x:v>Not Run</x:v>
      </x:c>
      <x:c r="Q26" s="2" t="str">
        <x:v>hieudt</x:v>
      </x:c>
      <x:c r="R26" s="4" t="d">
        <x:v>2026-11-27T00:00:00.000Z</x:v>
      </x:c>
      <x:c r="S26" s="17" t="str">
        <x:v>Complete = FE + API + business rules + authorization + unit tests + peer review + passed integration + synchronized documentation.</x:v>
      </x:c>
      <x:c r="T26" s="2" t="str">
        <x:v>UC-10</x:v>
      </x:c>
      <x:c r="U26" s="2" t="str">
        <x:v>minhtd</x:v>
      </x:c>
      <x:c r="V26" s="4" t="d">
        <x:v>2026-11-09T00:00:00.000Z</x:v>
      </x:c>
      <x:c r="W26" s="4" t="d">
        <x:v>2026-11-13T00:00:00.000Z</x:v>
      </x:c>
      <x:c r="X26" s="22" t="n">
        <x:v>0</x:v>
      </x:c>
      <x:c r="Y26" s="23"/>
      <x:c r="Z26" s="17" t="str">
        <x:v>Shared stock/UOM/permission contracts</x:v>
      </x:c>
      <x:c r="AA26" s="2" t="str">
        <x:v>ACTIVE</x:v>
      </x:c>
      <x:c r="AB26" s="23" t="n">
        <x:v>0</x:v>
      </x:c>
      <x:c r="AC26" s="23" t="n">
        <x:v>0</x:v>
      </x:c>
      <x:c r="AD26" s="23" t="n">
        <x:v>1</x:v>
      </x:c>
      <x:c r="AE26" s="23" t="n">
        <x:v>0</x:v>
      </x:c>
      <x:c r="AF26" s="23" t="n">
        <x:v>0</x:v>
      </x:c>
      <x:c r="AG26" s="2" t="str">
        <x:f>IF(AA26="RETIRED","Excluded",IF(AA26="ACTIVE",IF(AND(I26="Complete",J26="Reviewed",M26="Ready",P26="Passed",X26=1),"Accepted","Pending"),IF(AND(I26="Complete",J26="Reviewed"),"Done","Pending")))</x:f>
        <x:v>Pending</x:v>
      </x:c>
      <x:c r="AH26" s="2" t="str">
        <x:f>IF(AA26="RETIRED","Excluded",IF(OR(AG26="Accepted",AG26="Done"),"Done",IF(ISNUMBER(W26),IF(W26&lt;$N$3,"Overdue","Planned"),"Verify baseline")))</x:f>
        <x:v>Planned</x:v>
      </x:c>
    </x:row>
    <x:row r="27" ht="43" customHeight="1">
      <x:c r="A27" s="17" t="str">
        <x:v>UC-11 · View product list</x:v>
      </x:c>
      <x:c r="B27" s="2" t="str">
        <x:v>FE-02</x:v>
      </x:c>
      <x:c r="C27" s="17" t="str">
        <x:v>minhtd · Purchase, receiving and put-away</x:v>
      </x:c>
      <x:c r="D27" s="2" t="str">
        <x:v>Use case</x:v>
      </x:c>
      <x:c r="E27" s="17" t="str">
        <x:v>Search products by item code, name, size, and status.</x:v>
      </x:c>
      <x:c r="F27" s="2" t="str">
        <x:v>Simple</x:v>
      </x:c>
      <x:c r="G27" s="13" t="n">
        <x:f>SUM(AB27:AF27)</x:f>
        <x:v>0.25</x:v>
      </x:c>
      <x:c r="H27" s="2" t="str">
        <x:v>Iteration 1</x:v>
      </x:c>
      <x:c r="I27" s="21" t="str">
        <x:v>To Do</x:v>
      </x:c>
      <x:c r="J27" s="21" t="str">
        <x:v>Review due</x:v>
      </x:c>
      <x:c r="K27" s="2" t="str">
        <x:v>minhtd</x:v>
      </x:c>
      <x:c r="L27" s="4" t="d">
        <x:v>2026-11-27T00:00:00.000Z</x:v>
      </x:c>
      <x:c r="M27" s="21" t="str">
        <x:v>To Do</x:v>
      </x:c>
      <x:c r="N27" s="2" t="str">
        <x:v>hieudt</x:v>
      </x:c>
      <x:c r="O27" s="4" t="d">
        <x:v>2026-11-27T00:00:00.000Z</x:v>
      </x:c>
      <x:c r="P27" s="21" t="str">
        <x:v>Not Run</x:v>
      </x:c>
      <x:c r="Q27" s="2" t="str">
        <x:v>hieudt</x:v>
      </x:c>
      <x:c r="R27" s="4" t="d">
        <x:v>2026-11-27T00:00:00.000Z</x:v>
      </x:c>
      <x:c r="S27" s="17" t="str">
        <x:v>Complete = FE + API + business rules + authorization + unit tests + peer review + passed integration + synchronized documentation.</x:v>
      </x:c>
      <x:c r="T27" s="2" t="str">
        <x:v>UC-11</x:v>
      </x:c>
      <x:c r="U27" s="2" t="str">
        <x:v>minhtd</x:v>
      </x:c>
      <x:c r="V27" s="4" t="d">
        <x:v>2026-10-26T00:00:00.000Z</x:v>
      </x:c>
      <x:c r="W27" s="4" t="d">
        <x:v>2026-10-30T00:00:00.000Z</x:v>
      </x:c>
      <x:c r="X27" s="22" t="n">
        <x:v>0</x:v>
      </x:c>
      <x:c r="Y27" s="23"/>
      <x:c r="Z27" s="17" t="str">
        <x:v>CORE-01; shared contracts</x:v>
      </x:c>
      <x:c r="AA27" s="2" t="str">
        <x:v>ACTIVE</x:v>
      </x:c>
      <x:c r="AB27" s="23" t="n">
        <x:v>0.25</x:v>
      </x:c>
      <x:c r="AC27" s="23" t="n">
        <x:v>0</x:v>
      </x:c>
      <x:c r="AD27" s="23" t="n">
        <x:v>0</x:v>
      </x:c>
      <x:c r="AE27" s="23" t="n">
        <x:v>0</x:v>
      </x:c>
      <x:c r="AF27" s="23" t="n">
        <x:v>0</x:v>
      </x:c>
      <x:c r="AG27" s="2" t="str">
        <x:f>IF(AA27="RETIRED","Excluded",IF(AA27="ACTIVE",IF(AND(I27="Complete",J27="Reviewed",M27="Ready",P27="Passed",X27=1),"Accepted","Pending"),IF(AND(I27="Complete",J27="Reviewed"),"Done","Pending")))</x:f>
        <x:v>Pending</x:v>
      </x:c>
      <x:c r="AH27" s="2" t="str">
        <x:f>IF(AA27="RETIRED","Excluded",IF(OR(AG27="Accepted",AG27="Done"),"Done",IF(ISNUMBER(W27),IF(W27&lt;$N$3,"Overdue","Planned"),"Verify baseline")))</x:f>
        <x:v>Planned</x:v>
      </x:c>
    </x:row>
    <x:row r="28" ht="43" customHeight="1">
      <x:c r="A28" s="17" t="str">
        <x:v>UC-12 · View product details</x:v>
      </x:c>
      <x:c r="B28" s="2" t="str">
        <x:v>FE-02</x:v>
      </x:c>
      <x:c r="C28" s="17" t="str">
        <x:v>minhtd · Purchase, receiving and put-away</x:v>
      </x:c>
      <x:c r="D28" s="2" t="str">
        <x:v>Use case</x:v>
      </x:c>
      <x:c r="E28" s="17" t="str">
        <x:v>Display tile attributes, packaging specifications, and units of measure.</x:v>
      </x:c>
      <x:c r="F28" s="2" t="str">
        <x:v>Simple</x:v>
      </x:c>
      <x:c r="G28" s="13" t="n">
        <x:f>SUM(AB28:AF28)</x:f>
        <x:v>0.25</x:v>
      </x:c>
      <x:c r="H28" s="2" t="str">
        <x:v>Iteration 1</x:v>
      </x:c>
      <x:c r="I28" s="21" t="str">
        <x:v>To Do</x:v>
      </x:c>
      <x:c r="J28" s="21" t="str">
        <x:v>Review due</x:v>
      </x:c>
      <x:c r="K28" s="2" t="str">
        <x:v>minhtd</x:v>
      </x:c>
      <x:c r="L28" s="4" t="d">
        <x:v>2026-11-27T00:00:00.000Z</x:v>
      </x:c>
      <x:c r="M28" s="21" t="str">
        <x:v>To Do</x:v>
      </x:c>
      <x:c r="N28" s="2" t="str">
        <x:v>hieudt</x:v>
      </x:c>
      <x:c r="O28" s="4" t="d">
        <x:v>2026-11-27T00:00:00.000Z</x:v>
      </x:c>
      <x:c r="P28" s="21" t="str">
        <x:v>Not Run</x:v>
      </x:c>
      <x:c r="Q28" s="2" t="str">
        <x:v>hieudt</x:v>
      </x:c>
      <x:c r="R28" s="4" t="d">
        <x:v>2026-11-27T00:00:00.000Z</x:v>
      </x:c>
      <x:c r="S28" s="17" t="str">
        <x:v>Complete = FE + API + business rules + authorization + unit tests + peer review + passed integration + synchronized documentation.</x:v>
      </x:c>
      <x:c r="T28" s="2" t="str">
        <x:v>UC-12</x:v>
      </x:c>
      <x:c r="U28" s="2" t="str">
        <x:v>minhtd</x:v>
      </x:c>
      <x:c r="V28" s="4" t="d">
        <x:v>2026-10-26T00:00:00.000Z</x:v>
      </x:c>
      <x:c r="W28" s="4" t="d">
        <x:v>2026-10-30T00:00:00.000Z</x:v>
      </x:c>
      <x:c r="X28" s="22" t="n">
        <x:v>0</x:v>
      </x:c>
      <x:c r="Y28" s="23"/>
      <x:c r="Z28" s="17" t="str">
        <x:v>CORE-01; shared contracts</x:v>
      </x:c>
      <x:c r="AA28" s="2" t="str">
        <x:v>ACTIVE</x:v>
      </x:c>
      <x:c r="AB28" s="23" t="n">
        <x:v>0.25</x:v>
      </x:c>
      <x:c r="AC28" s="23" t="n">
        <x:v>0</x:v>
      </x:c>
      <x:c r="AD28" s="23" t="n">
        <x:v>0</x:v>
      </x:c>
      <x:c r="AE28" s="23" t="n">
        <x:v>0</x:v>
      </x:c>
      <x:c r="AF28" s="23" t="n">
        <x:v>0</x:v>
      </x:c>
      <x:c r="AG28" s="2" t="str">
        <x:f>IF(AA28="RETIRED","Excluded",IF(AA28="ACTIVE",IF(AND(I28="Complete",J28="Reviewed",M28="Ready",P28="Passed",X28=1),"Accepted","Pending"),IF(AND(I28="Complete",J28="Reviewed"),"Done","Pending")))</x:f>
        <x:v>Pending</x:v>
      </x:c>
      <x:c r="AH28" s="2" t="str">
        <x:f>IF(AA28="RETIRED","Excluded",IF(OR(AG28="Accepted",AG28="Done"),"Done",IF(ISNUMBER(W28),IF(W28&lt;$N$3,"Overdue","Planned"),"Verify baseline")))</x:f>
        <x:v>Planned</x:v>
      </x:c>
    </x:row>
    <x:row r="29" ht="48" customHeight="1">
      <x:c r="A29" s="17" t="str">
        <x:v>UC-13 · Maintain Product and Packaging</x:v>
      </x:c>
      <x:c r="B29" s="2" t="str">
        <x:v>FE-02</x:v>
      </x:c>
      <x:c r="C29" s="17" t="str">
        <x:v>minhtd · Purchase, receiving and put-away</x:v>
      </x:c>
      <x:c r="D29" s="2" t="str">
        <x:v>Use case</x:v>
      </x:c>
      <x:c r="E29" s="17" t="str">
        <x:v>Maintain versioned BOX/PIECE/M2 conversions and controlled minimum stock parameters. Preserve transaction snapshots; count remaining pieces in open boxes. Torn packaging alone does not mean damaged tiles.</x:v>
      </x:c>
      <x:c r="F29" s="2" t="str">
        <x:v>Medium</x:v>
      </x:c>
      <x:c r="G29" s="13" t="n">
        <x:f>SUM(AB29:AF29)</x:f>
        <x:v>1</x:v>
      </x:c>
      <x:c r="H29" s="2" t="str">
        <x:v>Iteration 1</x:v>
      </x:c>
      <x:c r="I29" s="21" t="str">
        <x:v>To Do</x:v>
      </x:c>
      <x:c r="J29" s="21" t="str">
        <x:v>Review due</x:v>
      </x:c>
      <x:c r="K29" s="2" t="str">
        <x:v>minhtd</x:v>
      </x:c>
      <x:c r="L29" s="4" t="d">
        <x:v>2026-11-27T00:00:00.000Z</x:v>
      </x:c>
      <x:c r="M29" s="21" t="str">
        <x:v>To Do</x:v>
      </x:c>
      <x:c r="N29" s="2" t="str">
        <x:v>hieudt</x:v>
      </x:c>
      <x:c r="O29" s="4" t="d">
        <x:v>2026-11-27T00:00:00.000Z</x:v>
      </x:c>
      <x:c r="P29" s="21" t="str">
        <x:v>Not Run</x:v>
      </x:c>
      <x:c r="Q29" s="2" t="str">
        <x:v>hieudt</x:v>
      </x:c>
      <x:c r="R29" s="4" t="d">
        <x:v>2026-11-27T00:00:00.000Z</x:v>
      </x:c>
      <x:c r="S29" s="17" t="str">
        <x:v>Complete = FE + API + business rules + authorization + unit tests + peer review + passed integration + synchronized documentation.</x:v>
      </x:c>
      <x:c r="T29" s="2" t="str">
        <x:v>UC-13</x:v>
      </x:c>
      <x:c r="U29" s="2" t="str">
        <x:v>minhtd</x:v>
      </x:c>
      <x:c r="V29" s="4" t="d">
        <x:v>2026-10-26T00:00:00.000Z</x:v>
      </x:c>
      <x:c r="W29" s="4" t="d">
        <x:v>2026-10-30T00:00:00.000Z</x:v>
      </x:c>
      <x:c r="X29" s="22" t="n">
        <x:v>0</x:v>
      </x:c>
      <x:c r="Y29" s="23"/>
      <x:c r="Z29" s="17" t="str">
        <x:v>CORE-01; shared contracts</x:v>
      </x:c>
      <x:c r="AA29" s="2" t="str">
        <x:v>ACTIVE</x:v>
      </x:c>
      <x:c r="AB29" s="23" t="n">
        <x:v>1</x:v>
      </x:c>
      <x:c r="AC29" s="23" t="n">
        <x:v>0</x:v>
      </x:c>
      <x:c r="AD29" s="23" t="n">
        <x:v>0</x:v>
      </x:c>
      <x:c r="AE29" s="23" t="n">
        <x:v>0</x:v>
      </x:c>
      <x:c r="AF29" s="23" t="n">
        <x:v>0</x:v>
      </x:c>
      <x:c r="AG29" s="2" t="str">
        <x:f>IF(AA29="RETIRED","Excluded",IF(AA29="ACTIVE",IF(AND(I29="Complete",J29="Reviewed",M29="Ready",P29="Passed",X29=1),"Accepted","Pending"),IF(AND(I29="Complete",J29="Reviewed"),"Done","Pending")))</x:f>
        <x:v>Pending</x:v>
      </x:c>
      <x:c r="AH29" s="2" t="str">
        <x:f>IF(AA29="RETIRED","Excluded",IF(OR(AG29="Accepted",AG29="Done"),"Done",IF(ISNUMBER(W29),IF(W29&lt;$N$3,"Overdue","Planned"),"Verify baseline")))</x:f>
        <x:v>Planned</x:v>
      </x:c>
    </x:row>
    <x:row r="30" ht="43" customHeight="1">
      <x:c r="A30" s="17" t="str">
        <x:v>UC-14 · View lot list</x:v>
      </x:c>
      <x:c r="B30" s="2" t="str">
        <x:v>FE-02</x:v>
      </x:c>
      <x:c r="C30" s="17" t="str">
        <x:v>minhtd · Purchase, receiving and put-away</x:v>
      </x:c>
      <x:c r="D30" s="2" t="str">
        <x:v>Use case</x:v>
      </x:c>
      <x:c r="E30" s="17" t="str">
        <x:v>Search lots by product, lot number, tone, and actual calibre.</x:v>
      </x:c>
      <x:c r="F30" s="2" t="str">
        <x:v>Simple</x:v>
      </x:c>
      <x:c r="G30" s="13" t="n">
        <x:f>SUM(AB30:AF30)</x:f>
        <x:v>0.25</x:v>
      </x:c>
      <x:c r="H30" s="2" t="str">
        <x:v>Iteration 1</x:v>
      </x:c>
      <x:c r="I30" s="21" t="str">
        <x:v>To Do</x:v>
      </x:c>
      <x:c r="J30" s="21" t="str">
        <x:v>Review due</x:v>
      </x:c>
      <x:c r="K30" s="2" t="str">
        <x:v>minhtd</x:v>
      </x:c>
      <x:c r="L30" s="4" t="d">
        <x:v>2026-11-27T00:00:00.000Z</x:v>
      </x:c>
      <x:c r="M30" s="21" t="str">
        <x:v>To Do</x:v>
      </x:c>
      <x:c r="N30" s="2" t="str">
        <x:v>hieudt</x:v>
      </x:c>
      <x:c r="O30" s="4" t="d">
        <x:v>2026-11-27T00:00:00.000Z</x:v>
      </x:c>
      <x:c r="P30" s="21" t="str">
        <x:v>Not Run</x:v>
      </x:c>
      <x:c r="Q30" s="2" t="str">
        <x:v>hieudt</x:v>
      </x:c>
      <x:c r="R30" s="4" t="d">
        <x:v>2026-11-27T00:00:00.000Z</x:v>
      </x:c>
      <x:c r="S30" s="17" t="str">
        <x:v>Complete = FE + API + business rules + authorization + unit tests + peer review + passed integration + synchronized documentation.</x:v>
      </x:c>
      <x:c r="T30" s="2" t="str">
        <x:v>UC-14</x:v>
      </x:c>
      <x:c r="U30" s="2" t="str">
        <x:v>minhtd</x:v>
      </x:c>
      <x:c r="V30" s="4" t="d">
        <x:v>2026-10-26T00:00:00.000Z</x:v>
      </x:c>
      <x:c r="W30" s="4" t="d">
        <x:v>2026-10-30T00:00:00.000Z</x:v>
      </x:c>
      <x:c r="X30" s="22" t="n">
        <x:v>0</x:v>
      </x:c>
      <x:c r="Y30" s="23"/>
      <x:c r="Z30" s="17" t="str">
        <x:v>CORE-01; shared contracts</x:v>
      </x:c>
      <x:c r="AA30" s="2" t="str">
        <x:v>ACTIVE</x:v>
      </x:c>
      <x:c r="AB30" s="23" t="n">
        <x:v>0.25</x:v>
      </x:c>
      <x:c r="AC30" s="23" t="n">
        <x:v>0</x:v>
      </x:c>
      <x:c r="AD30" s="23" t="n">
        <x:v>0</x:v>
      </x:c>
      <x:c r="AE30" s="23" t="n">
        <x:v>0</x:v>
      </x:c>
      <x:c r="AF30" s="23" t="n">
        <x:v>0</x:v>
      </x:c>
      <x:c r="AG30" s="2" t="str">
        <x:f>IF(AA30="RETIRED","Excluded",IF(AA30="ACTIVE",IF(AND(I30="Complete",J30="Reviewed",M30="Ready",P30="Passed",X30=1),"Accepted","Pending"),IF(AND(I30="Complete",J30="Reviewed"),"Done","Pending")))</x:f>
        <x:v>Pending</x:v>
      </x:c>
      <x:c r="AH30" s="2" t="str">
        <x:f>IF(AA30="RETIRED","Excluded",IF(OR(AG30="Accepted",AG30="Done"),"Done",IF(ISNUMBER(W30),IF(W30&lt;$N$3,"Overdue","Planned"),"Verify baseline")))</x:f>
        <x:v>Planned</x:v>
      </x:c>
    </x:row>
    <x:row r="31" ht="43" customHeight="1">
      <x:c r="A31" s="17" t="str">
        <x:v>UC-15 · View lot details</x:v>
      </x:c>
      <x:c r="B31" s="2" t="str">
        <x:v>FE-02</x:v>
      </x:c>
      <x:c r="C31" s="17" t="str">
        <x:v>minhtd · Purchase, receiving and put-away</x:v>
      </x:c>
      <x:c r="D31" s="2" t="str">
        <x:v>Use case</x:v>
      </x:c>
      <x:c r="E31" s="17" t="str">
        <x:v>Display production date, tone, actual calibre, and related transaction history.</x:v>
      </x:c>
      <x:c r="F31" s="2" t="str">
        <x:v>Simple</x:v>
      </x:c>
      <x:c r="G31" s="13" t="n">
        <x:f>SUM(AB31:AF31)</x:f>
        <x:v>0.25</x:v>
      </x:c>
      <x:c r="H31" s="2" t="str">
        <x:v>Iteration 1</x:v>
      </x:c>
      <x:c r="I31" s="21" t="str">
        <x:v>To Do</x:v>
      </x:c>
      <x:c r="J31" s="21" t="str">
        <x:v>Review due</x:v>
      </x:c>
      <x:c r="K31" s="2" t="str">
        <x:v>minhtd</x:v>
      </x:c>
      <x:c r="L31" s="4" t="d">
        <x:v>2026-11-27T00:00:00.000Z</x:v>
      </x:c>
      <x:c r="M31" s="21" t="str">
        <x:v>To Do</x:v>
      </x:c>
      <x:c r="N31" s="2" t="str">
        <x:v>hieudt</x:v>
      </x:c>
      <x:c r="O31" s="4" t="d">
        <x:v>2026-11-27T00:00:00.000Z</x:v>
      </x:c>
      <x:c r="P31" s="21" t="str">
        <x:v>Not Run</x:v>
      </x:c>
      <x:c r="Q31" s="2" t="str">
        <x:v>hieudt</x:v>
      </x:c>
      <x:c r="R31" s="4" t="d">
        <x:v>2026-11-27T00:00:00.000Z</x:v>
      </x:c>
      <x:c r="S31" s="17" t="str">
        <x:v>Complete = FE + API + business rules + authorization + unit tests + peer review + passed integration + synchronized documentation.</x:v>
      </x:c>
      <x:c r="T31" s="2" t="str">
        <x:v>UC-15</x:v>
      </x:c>
      <x:c r="U31" s="2" t="str">
        <x:v>minhtd</x:v>
      </x:c>
      <x:c r="V31" s="4" t="d">
        <x:v>2026-10-26T00:00:00.000Z</x:v>
      </x:c>
      <x:c r="W31" s="4" t="d">
        <x:v>2026-10-30T00:00:00.000Z</x:v>
      </x:c>
      <x:c r="X31" s="22" t="n">
        <x:v>0</x:v>
      </x:c>
      <x:c r="Y31" s="23"/>
      <x:c r="Z31" s="17" t="str">
        <x:v>CORE-01; shared contracts</x:v>
      </x:c>
      <x:c r="AA31" s="2" t="str">
        <x:v>ACTIVE</x:v>
      </x:c>
      <x:c r="AB31" s="23" t="n">
        <x:v>0.25</x:v>
      </x:c>
      <x:c r="AC31" s="23" t="n">
        <x:v>0</x:v>
      </x:c>
      <x:c r="AD31" s="23" t="n">
        <x:v>0</x:v>
      </x:c>
      <x:c r="AE31" s="23" t="n">
        <x:v>0</x:v>
      </x:c>
      <x:c r="AF31" s="23" t="n">
        <x:v>0</x:v>
      </x:c>
      <x:c r="AG31" s="2" t="str">
        <x:f>IF(AA31="RETIRED","Excluded",IF(AA31="ACTIVE",IF(AND(I31="Complete",J31="Reviewed",M31="Ready",P31="Passed",X31=1),"Accepted","Pending"),IF(AND(I31="Complete",J31="Reviewed"),"Done","Pending")))</x:f>
        <x:v>Pending</x:v>
      </x:c>
      <x:c r="AH31" s="2" t="str">
        <x:f>IF(AA31="RETIRED","Excluded",IF(OR(AG31="Accepted",AG31="Done"),"Done",IF(ISNUMBER(W31),IF(W31&lt;$N$3,"Overdue","Planned"),"Verify baseline")))</x:f>
        <x:v>Planned</x:v>
      </x:c>
    </x:row>
    <x:row r="32" ht="48" customHeight="1">
      <x:c r="A32" s="17" t="str">
        <x:v>UC-16 · Maintain Product Lot</x:v>
      </x:c>
      <x:c r="B32" s="2" t="str">
        <x:v>FE-02</x:v>
      </x:c>
      <x:c r="C32" s="17" t="str">
        <x:v>minhtd · Purchase, receiving and put-away</x:v>
      </x:c>
      <x:c r="D32" s="2" t="str">
        <x:v>Use case</x:v>
      </x:c>
      <x:c r="E32" s="17" t="str">
        <x:v>Maintain product/lot/tone/actual-calibre identity with evidence and history. Do not overwrite transacted identity to conceal shortages. Survey size is not proof of actual-calibre tracking.</x:v>
      </x:c>
      <x:c r="F32" s="2" t="str">
        <x:v>Medium</x:v>
      </x:c>
      <x:c r="G32" s="13" t="n">
        <x:f>SUM(AB32:AF32)</x:f>
        <x:v>1</x:v>
      </x:c>
      <x:c r="H32" s="2" t="str">
        <x:v>Iteration 1</x:v>
      </x:c>
      <x:c r="I32" s="21" t="str">
        <x:v>To Do</x:v>
      </x:c>
      <x:c r="J32" s="21" t="str">
        <x:v>Review due</x:v>
      </x:c>
      <x:c r="K32" s="2" t="str">
        <x:v>minhtd</x:v>
      </x:c>
      <x:c r="L32" s="4" t="d">
        <x:v>2026-11-27T00:00:00.000Z</x:v>
      </x:c>
      <x:c r="M32" s="21" t="str">
        <x:v>To Do</x:v>
      </x:c>
      <x:c r="N32" s="2" t="str">
        <x:v>hieudt</x:v>
      </x:c>
      <x:c r="O32" s="4" t="d">
        <x:v>2026-11-27T00:00:00.000Z</x:v>
      </x:c>
      <x:c r="P32" s="21" t="str">
        <x:v>Not Run</x:v>
      </x:c>
      <x:c r="Q32" s="2" t="str">
        <x:v>hieudt</x:v>
      </x:c>
      <x:c r="R32" s="4" t="d">
        <x:v>2026-11-27T00:00:00.000Z</x:v>
      </x:c>
      <x:c r="S32" s="17" t="str">
        <x:v>Complete = FE + API + business rules + authorization + unit tests + peer review + passed integration + synchronized documentation.</x:v>
      </x:c>
      <x:c r="T32" s="2" t="str">
        <x:v>UC-16</x:v>
      </x:c>
      <x:c r="U32" s="2" t="str">
        <x:v>minhtd</x:v>
      </x:c>
      <x:c r="V32" s="4" t="d">
        <x:v>2026-10-26T00:00:00.000Z</x:v>
      </x:c>
      <x:c r="W32" s="4" t="d">
        <x:v>2026-10-30T00:00:00.000Z</x:v>
      </x:c>
      <x:c r="X32" s="22" t="n">
        <x:v>0</x:v>
      </x:c>
      <x:c r="Y32" s="23"/>
      <x:c r="Z32" s="17" t="str">
        <x:v>CORE-01; shared contracts</x:v>
      </x:c>
      <x:c r="AA32" s="2" t="str">
        <x:v>ACTIVE</x:v>
      </x:c>
      <x:c r="AB32" s="23" t="n">
        <x:v>1</x:v>
      </x:c>
      <x:c r="AC32" s="23" t="n">
        <x:v>0</x:v>
      </x:c>
      <x:c r="AD32" s="23" t="n">
        <x:v>0</x:v>
      </x:c>
      <x:c r="AE32" s="23" t="n">
        <x:v>0</x:v>
      </x:c>
      <x:c r="AF32" s="23" t="n">
        <x:v>0</x:v>
      </x:c>
      <x:c r="AG32" s="2" t="str">
        <x:f>IF(AA32="RETIRED","Excluded",IF(AA32="ACTIVE",IF(AND(I32="Complete",J32="Reviewed",M32="Ready",P32="Passed",X32=1),"Accepted","Pending"),IF(AND(I32="Complete",J32="Reviewed"),"Done","Pending")))</x:f>
        <x:v>Pending</x:v>
      </x:c>
      <x:c r="AH32" s="2" t="str">
        <x:f>IF(AA32="RETIRED","Excluded",IF(OR(AG32="Accepted",AG32="Done"),"Done",IF(ISNUMBER(W32),IF(W32&lt;$N$3,"Overdue","Planned"),"Verify baseline")))</x:f>
        <x:v>Planned</x:v>
      </x:c>
    </x:row>
    <x:row r="33" ht="43" customHeight="1">
      <x:c r="A33" s="17" t="str">
        <x:v>UC-17 · View supplier list</x:v>
      </x:c>
      <x:c r="B33" s="2" t="str">
        <x:v>FE-02</x:v>
      </x:c>
      <x:c r="C33" s="17" t="str">
        <x:v>minhtd · Purchase, receiving and put-away</x:v>
      </x:c>
      <x:c r="D33" s="2" t="str">
        <x:v>Use case</x:v>
      </x:c>
      <x:c r="E33" s="17" t="str">
        <x:v>Search suppliers by code, name, and cooperation status.</x:v>
      </x:c>
      <x:c r="F33" s="2" t="str">
        <x:v>Simple</x:v>
      </x:c>
      <x:c r="G33" s="13" t="n">
        <x:f>SUM(AB33:AF33)</x:f>
        <x:v>0.25</x:v>
      </x:c>
      <x:c r="H33" s="2" t="str">
        <x:v>Iteration 1</x:v>
      </x:c>
      <x:c r="I33" s="21" t="str">
        <x:v>To Do</x:v>
      </x:c>
      <x:c r="J33" s="21" t="str">
        <x:v>Review due</x:v>
      </x:c>
      <x:c r="K33" s="2" t="str">
        <x:v>minhtd</x:v>
      </x:c>
      <x:c r="L33" s="4" t="d">
        <x:v>2026-11-27T00:00:00.000Z</x:v>
      </x:c>
      <x:c r="M33" s="21" t="str">
        <x:v>To Do</x:v>
      </x:c>
      <x:c r="N33" s="2" t="str">
        <x:v>hieudt</x:v>
      </x:c>
      <x:c r="O33" s="4" t="d">
        <x:v>2026-11-27T00:00:00.000Z</x:v>
      </x:c>
      <x:c r="P33" s="21" t="str">
        <x:v>Not Run</x:v>
      </x:c>
      <x:c r="Q33" s="2" t="str">
        <x:v>hieudt</x:v>
      </x:c>
      <x:c r="R33" s="4" t="d">
        <x:v>2026-11-27T00:00:00.000Z</x:v>
      </x:c>
      <x:c r="S33" s="17" t="str">
        <x:v>Complete = FE + API + business rules + authorization + unit tests + peer review + passed integration + synchronized documentation.</x:v>
      </x:c>
      <x:c r="T33" s="2" t="str">
        <x:v>UC-17</x:v>
      </x:c>
      <x:c r="U33" s="2" t="str">
        <x:v>minhtd</x:v>
      </x:c>
      <x:c r="V33" s="4" t="d">
        <x:v>2026-10-26T00:00:00.000Z</x:v>
      </x:c>
      <x:c r="W33" s="4" t="d">
        <x:v>2026-10-30T00:00:00.000Z</x:v>
      </x:c>
      <x:c r="X33" s="22" t="n">
        <x:v>0</x:v>
      </x:c>
      <x:c r="Y33" s="23"/>
      <x:c r="Z33" s="17" t="str">
        <x:v>CORE-01; shared contracts</x:v>
      </x:c>
      <x:c r="AA33" s="2" t="str">
        <x:v>ACTIVE</x:v>
      </x:c>
      <x:c r="AB33" s="23" t="n">
        <x:v>0.25</x:v>
      </x:c>
      <x:c r="AC33" s="23" t="n">
        <x:v>0</x:v>
      </x:c>
      <x:c r="AD33" s="23" t="n">
        <x:v>0</x:v>
      </x:c>
      <x:c r="AE33" s="23" t="n">
        <x:v>0</x:v>
      </x:c>
      <x:c r="AF33" s="23" t="n">
        <x:v>0</x:v>
      </x:c>
      <x:c r="AG33" s="2" t="str">
        <x:f>IF(AA33="RETIRED","Excluded",IF(AA33="ACTIVE",IF(AND(I33="Complete",J33="Reviewed",M33="Ready",P33="Passed",X33=1),"Accepted","Pending"),IF(AND(I33="Complete",J33="Reviewed"),"Done","Pending")))</x:f>
        <x:v>Pending</x:v>
      </x:c>
      <x:c r="AH33" s="2" t="str">
        <x:f>IF(AA33="RETIRED","Excluded",IF(OR(AG33="Accepted",AG33="Done"),"Done",IF(ISNUMBER(W33),IF(W33&lt;$N$3,"Overdue","Planned"),"Verify baseline")))</x:f>
        <x:v>Planned</x:v>
      </x:c>
    </x:row>
    <x:row r="34" ht="43" customHeight="1">
      <x:c r="A34" s="17" t="str">
        <x:v>UC-18 · View supplier details</x:v>
      </x:c>
      <x:c r="B34" s="2" t="str">
        <x:v>FE-02</x:v>
      </x:c>
      <x:c r="C34" s="17" t="str">
        <x:v>minhtd · Purchase, receiving and put-away</x:v>
      </x:c>
      <x:c r="D34" s="2" t="str">
        <x:v>Use case</x:v>
      </x:c>
      <x:c r="E34" s="17" t="str">
        <x:v>Display contact information and related purchases, receipts, and returns.</x:v>
      </x:c>
      <x:c r="F34" s="2" t="str">
        <x:v>Simple</x:v>
      </x:c>
      <x:c r="G34" s="13" t="n">
        <x:f>SUM(AB34:AF34)</x:f>
        <x:v>0.25</x:v>
      </x:c>
      <x:c r="H34" s="2" t="str">
        <x:v>Iteration 1</x:v>
      </x:c>
      <x:c r="I34" s="21" t="str">
        <x:v>To Do</x:v>
      </x:c>
      <x:c r="J34" s="21" t="str">
        <x:v>Review due</x:v>
      </x:c>
      <x:c r="K34" s="2" t="str">
        <x:v>minhtd</x:v>
      </x:c>
      <x:c r="L34" s="4" t="d">
        <x:v>2026-11-27T00:00:00.000Z</x:v>
      </x:c>
      <x:c r="M34" s="21" t="str">
        <x:v>To Do</x:v>
      </x:c>
      <x:c r="N34" s="2" t="str">
        <x:v>hieudt</x:v>
      </x:c>
      <x:c r="O34" s="4" t="d">
        <x:v>2026-11-27T00:00:00.000Z</x:v>
      </x:c>
      <x:c r="P34" s="21" t="str">
        <x:v>Not Run</x:v>
      </x:c>
      <x:c r="Q34" s="2" t="str">
        <x:v>hieudt</x:v>
      </x:c>
      <x:c r="R34" s="4" t="d">
        <x:v>2026-11-27T00:00:00.000Z</x:v>
      </x:c>
      <x:c r="S34" s="17" t="str">
        <x:v>Complete = FE + API + business rules + authorization + unit tests + peer review + passed integration + synchronized documentation.</x:v>
      </x:c>
      <x:c r="T34" s="2" t="str">
        <x:v>UC-18</x:v>
      </x:c>
      <x:c r="U34" s="2" t="str">
        <x:v>minhtd</x:v>
      </x:c>
      <x:c r="V34" s="4" t="d">
        <x:v>2026-10-26T00:00:00.000Z</x:v>
      </x:c>
      <x:c r="W34" s="4" t="d">
        <x:v>2026-10-30T00:00:00.000Z</x:v>
      </x:c>
      <x:c r="X34" s="22" t="n">
        <x:v>0</x:v>
      </x:c>
      <x:c r="Y34" s="23"/>
      <x:c r="Z34" s="17" t="str">
        <x:v>CORE-01; shared contracts</x:v>
      </x:c>
      <x:c r="AA34" s="2" t="str">
        <x:v>ACTIVE</x:v>
      </x:c>
      <x:c r="AB34" s="23" t="n">
        <x:v>0.25</x:v>
      </x:c>
      <x:c r="AC34" s="23" t="n">
        <x:v>0</x:v>
      </x:c>
      <x:c r="AD34" s="23" t="n">
        <x:v>0</x:v>
      </x:c>
      <x:c r="AE34" s="23" t="n">
        <x:v>0</x:v>
      </x:c>
      <x:c r="AF34" s="23" t="n">
        <x:v>0</x:v>
      </x:c>
      <x:c r="AG34" s="2" t="str">
        <x:f>IF(AA34="RETIRED","Excluded",IF(AA34="ACTIVE",IF(AND(I34="Complete",J34="Reviewed",M34="Ready",P34="Passed",X34=1),"Accepted","Pending"),IF(AND(I34="Complete",J34="Reviewed"),"Done","Pending")))</x:f>
        <x:v>Pending</x:v>
      </x:c>
      <x:c r="AH34" s="2" t="str">
        <x:f>IF(AA34="RETIRED","Excluded",IF(OR(AG34="Accepted",AG34="Done"),"Done",IF(ISNUMBER(W34),IF(W34&lt;$N$3,"Overdue","Planned"),"Verify baseline")))</x:f>
        <x:v>Planned</x:v>
      </x:c>
    </x:row>
    <x:row r="35" ht="43" customHeight="1">
      <x:c r="A35" s="17" t="str">
        <x:v>UC-19 · Maintain Supplier</x:v>
      </x:c>
      <x:c r="B35" s="2" t="str">
        <x:v>FE-02</x:v>
      </x:c>
      <x:c r="C35" s="17" t="str">
        <x:v>minhtd · Purchase, receiving and put-away</x:v>
      </x:c>
      <x:c r="D35" s="2" t="str">
        <x:v>Use case</x:v>
      </x:c>
      <x:c r="E35" s="17" t="str">
        <x:v>Maintain supplier identity/contact data and control supplier availability with separate operation permissions.</x:v>
      </x:c>
      <x:c r="F35" s="2" t="str">
        <x:v>Medium</x:v>
      </x:c>
      <x:c r="G35" s="13" t="n">
        <x:f>SUM(AB35:AF35)</x:f>
        <x:v>0.75</x:v>
      </x:c>
      <x:c r="H35" s="2" t="str">
        <x:v>Iteration 1</x:v>
      </x:c>
      <x:c r="I35" s="21" t="str">
        <x:v>To Do</x:v>
      </x:c>
      <x:c r="J35" s="21" t="str">
        <x:v>Review due</x:v>
      </x:c>
      <x:c r="K35" s="2" t="str">
        <x:v>minhtd</x:v>
      </x:c>
      <x:c r="L35" s="4" t="d">
        <x:v>2026-11-27T00:00:00.000Z</x:v>
      </x:c>
      <x:c r="M35" s="21" t="str">
        <x:v>To Do</x:v>
      </x:c>
      <x:c r="N35" s="2" t="str">
        <x:v>hieudt</x:v>
      </x:c>
      <x:c r="O35" s="4" t="d">
        <x:v>2026-11-27T00:00:00.000Z</x:v>
      </x:c>
      <x:c r="P35" s="21" t="str">
        <x:v>Not Run</x:v>
      </x:c>
      <x:c r="Q35" s="2" t="str">
        <x:v>hieudt</x:v>
      </x:c>
      <x:c r="R35" s="4" t="d">
        <x:v>2026-11-27T00:00:00.000Z</x:v>
      </x:c>
      <x:c r="S35" s="17" t="str">
        <x:v>Complete = FE + API + business rules + authorization + unit tests + peer review + passed integration + synchronized documentation.</x:v>
      </x:c>
      <x:c r="T35" s="2" t="str">
        <x:v>UC-19</x:v>
      </x:c>
      <x:c r="U35" s="2" t="str">
        <x:v>minhtd</x:v>
      </x:c>
      <x:c r="V35" s="4" t="d">
        <x:v>2026-11-02T00:00:00.000Z</x:v>
      </x:c>
      <x:c r="W35" s="4" t="d">
        <x:v>2026-11-06T00:00:00.000Z</x:v>
      </x:c>
      <x:c r="X35" s="22" t="n">
        <x:v>0</x:v>
      </x:c>
      <x:c r="Y35" s="23"/>
      <x:c r="Z35" s="17" t="str">
        <x:v>CORE-01; shared contracts</x:v>
      </x:c>
      <x:c r="AA35" s="2" t="str">
        <x:v>ACTIVE</x:v>
      </x:c>
      <x:c r="AB35" s="23" t="n">
        <x:v>0</x:v>
      </x:c>
      <x:c r="AC35" s="23" t="n">
        <x:v>0.75</x:v>
      </x:c>
      <x:c r="AD35" s="23" t="n">
        <x:v>0</x:v>
      </x:c>
      <x:c r="AE35" s="23" t="n">
        <x:v>0</x:v>
      </x:c>
      <x:c r="AF35" s="23" t="n">
        <x:v>0</x:v>
      </x:c>
      <x:c r="AG35" s="2" t="str">
        <x:f>IF(AA35="RETIRED","Excluded",IF(AA35="ACTIVE",IF(AND(I35="Complete",J35="Reviewed",M35="Ready",P35="Passed",X35=1),"Accepted","Pending"),IF(AND(I35="Complete",J35="Reviewed"),"Done","Pending")))</x:f>
        <x:v>Pending</x:v>
      </x:c>
      <x:c r="AH35" s="2" t="str">
        <x:f>IF(AA35="RETIRED","Excluded",IF(OR(AG35="Accepted",AG35="Done"),"Done",IF(ISNUMBER(W35),IF(W35&lt;$N$3,"Overdue","Planned"),"Verify baseline")))</x:f>
        <x:v>Planned</x:v>
      </x:c>
    </x:row>
    <x:row r="36" ht="43" customHeight="1">
      <x:c r="A36" s="17" t="str">
        <x:v>UC-20 · View Customer List</x:v>
      </x:c>
      <x:c r="B36" s="2" t="str">
        <x:v>FE-02</x:v>
      </x:c>
      <x:c r="C36" s="17" t="str">
        <x:v>danghh · Customer, sales order and goods issue</x:v>
      </x:c>
      <x:c r="D36" s="2" t="str">
        <x:v>Use case</x:v>
      </x:c>
      <x:c r="E36" s="17" t="str">
        <x:v>Search delivery/contact references and external MISA customer identifiers within authorized scope; no CRM or commercial account ledger.</x:v>
      </x:c>
      <x:c r="F36" s="2" t="str">
        <x:v>Simple</x:v>
      </x:c>
      <x:c r="G36" s="13" t="n">
        <x:f>SUM(AB36:AF36)</x:f>
        <x:v>0.25</x:v>
      </x:c>
      <x:c r="H36" s="2" t="str">
        <x:v>Iteration 1</x:v>
      </x:c>
      <x:c r="I36" s="21" t="str">
        <x:v>To Do</x:v>
      </x:c>
      <x:c r="J36" s="21" t="str">
        <x:v>Review due</x:v>
      </x:c>
      <x:c r="K36" s="2" t="str">
        <x:v>danghh</x:v>
      </x:c>
      <x:c r="L36" s="4" t="d">
        <x:v>2026-11-27T00:00:00.000Z</x:v>
      </x:c>
      <x:c r="M36" s="21" t="str">
        <x:v>To Do</x:v>
      </x:c>
      <x:c r="N36" s="2" t="str">
        <x:v>minhtd</x:v>
      </x:c>
      <x:c r="O36" s="4" t="d">
        <x:v>2026-11-27T00:00:00.000Z</x:v>
      </x:c>
      <x:c r="P36" s="21" t="str">
        <x:v>Not Run</x:v>
      </x:c>
      <x:c r="Q36" s="2" t="str">
        <x:v>minhtd</x:v>
      </x:c>
      <x:c r="R36" s="4" t="d">
        <x:v>2026-11-27T00:00:00.000Z</x:v>
      </x:c>
      <x:c r="S36" s="17" t="str">
        <x:v>Complete = FE + API + business rules + authorization + unit tests + peer review + passed integration + synchronized documentation.</x:v>
      </x:c>
      <x:c r="T36" s="2" t="str">
        <x:v>UC-20</x:v>
      </x:c>
      <x:c r="U36" s="2" t="str">
        <x:v>danghh</x:v>
      </x:c>
      <x:c r="V36" s="4" t="d">
        <x:v>2026-10-26T00:00:00.000Z</x:v>
      </x:c>
      <x:c r="W36" s="4" t="d">
        <x:v>2026-10-30T00:00:00.000Z</x:v>
      </x:c>
      <x:c r="X36" s="22" t="n">
        <x:v>0</x:v>
      </x:c>
      <x:c r="Y36" s="23"/>
      <x:c r="Z36" s="17" t="str">
        <x:v>CORE-01; shared contracts</x:v>
      </x:c>
      <x:c r="AA36" s="2" t="str">
        <x:v>ACTIVE</x:v>
      </x:c>
      <x:c r="AB36" s="23" t="n">
        <x:v>0.25</x:v>
      </x:c>
      <x:c r="AC36" s="23" t="n">
        <x:v>0</x:v>
      </x:c>
      <x:c r="AD36" s="23" t="n">
        <x:v>0</x:v>
      </x:c>
      <x:c r="AE36" s="23" t="n">
        <x:v>0</x:v>
      </x:c>
      <x:c r="AF36" s="23" t="n">
        <x:v>0</x:v>
      </x:c>
      <x:c r="AG36" s="2" t="str">
        <x:f>IF(AA36="RETIRED","Excluded",IF(AA36="ACTIVE",IF(AND(I36="Complete",J36="Reviewed",M36="Ready",P36="Passed",X36=1),"Accepted","Pending"),IF(AND(I36="Complete",J36="Reviewed"),"Done","Pending")))</x:f>
        <x:v>Pending</x:v>
      </x:c>
      <x:c r="AH36" s="2" t="str">
        <x:f>IF(AA36="RETIRED","Excluded",IF(OR(AG36="Accepted",AG36="Done"),"Done",IF(ISNUMBER(W36),IF(W36&lt;$N$3,"Overdue","Planned"),"Verify baseline")))</x:f>
        <x:v>Planned</x:v>
      </x:c>
    </x:row>
    <x:row r="37" ht="43" customHeight="1">
      <x:c r="A37" s="17" t="str">
        <x:v>UC-21 · View Customer Details</x:v>
      </x:c>
      <x:c r="B37" s="2" t="str">
        <x:v>FE-02</x:v>
      </x:c>
      <x:c r="C37" s="17" t="str">
        <x:v>danghh · Customer, sales order and goods issue</x:v>
      </x:c>
      <x:c r="D37" s="2" t="str">
        <x:v>Use case</x:v>
      </x:c>
      <x:c r="E37" s="17" t="str">
        <x:v>Read customer delivery/contact and source-document references; no sales pricing or receivables.</x:v>
      </x:c>
      <x:c r="F37" s="2" t="str">
        <x:v>Simple</x:v>
      </x:c>
      <x:c r="G37" s="13" t="n">
        <x:f>SUM(AB37:AF37)</x:f>
        <x:v>0.25</x:v>
      </x:c>
      <x:c r="H37" s="2" t="str">
        <x:v>Iteration 1</x:v>
      </x:c>
      <x:c r="I37" s="21" t="str">
        <x:v>To Do</x:v>
      </x:c>
      <x:c r="J37" s="21" t="str">
        <x:v>Review due</x:v>
      </x:c>
      <x:c r="K37" s="2" t="str">
        <x:v>danghh</x:v>
      </x:c>
      <x:c r="L37" s="4" t="d">
        <x:v>2026-11-27T00:00:00.000Z</x:v>
      </x:c>
      <x:c r="M37" s="21" t="str">
        <x:v>To Do</x:v>
      </x:c>
      <x:c r="N37" s="2" t="str">
        <x:v>minhtd</x:v>
      </x:c>
      <x:c r="O37" s="4" t="d">
        <x:v>2026-11-27T00:00:00.000Z</x:v>
      </x:c>
      <x:c r="P37" s="21" t="str">
        <x:v>Not Run</x:v>
      </x:c>
      <x:c r="Q37" s="2" t="str">
        <x:v>minhtd</x:v>
      </x:c>
      <x:c r="R37" s="4" t="d">
        <x:v>2026-11-27T00:00:00.000Z</x:v>
      </x:c>
      <x:c r="S37" s="17" t="str">
        <x:v>Complete = FE + API + business rules + authorization + unit tests + peer review + passed integration + synchronized documentation.</x:v>
      </x:c>
      <x:c r="T37" s="2" t="str">
        <x:v>UC-21</x:v>
      </x:c>
      <x:c r="U37" s="2" t="str">
        <x:v>danghh</x:v>
      </x:c>
      <x:c r="V37" s="4" t="d">
        <x:v>2026-10-26T00:00:00.000Z</x:v>
      </x:c>
      <x:c r="W37" s="4" t="d">
        <x:v>2026-10-30T00:00:00.000Z</x:v>
      </x:c>
      <x:c r="X37" s="22" t="n">
        <x:v>0</x:v>
      </x:c>
      <x:c r="Y37" s="23"/>
      <x:c r="Z37" s="17" t="str">
        <x:v>CORE-01; shared contracts</x:v>
      </x:c>
      <x:c r="AA37" s="2" t="str">
        <x:v>ACTIVE</x:v>
      </x:c>
      <x:c r="AB37" s="23" t="n">
        <x:v>0.25</x:v>
      </x:c>
      <x:c r="AC37" s="23" t="n">
        <x:v>0</x:v>
      </x:c>
      <x:c r="AD37" s="23" t="n">
        <x:v>0</x:v>
      </x:c>
      <x:c r="AE37" s="23" t="n">
        <x:v>0</x:v>
      </x:c>
      <x:c r="AF37" s="23" t="n">
        <x:v>0</x:v>
      </x:c>
      <x:c r="AG37" s="2" t="str">
        <x:f>IF(AA37="RETIRED","Excluded",IF(AA37="ACTIVE",IF(AND(I37="Complete",J37="Reviewed",M37="Ready",P37="Passed",X37=1),"Accepted","Pending"),IF(AND(I37="Complete",J37="Reviewed"),"Done","Pending")))</x:f>
        <x:v>Pending</x:v>
      </x:c>
      <x:c r="AH37" s="2" t="str">
        <x:f>IF(AA37="RETIRED","Excluded",IF(OR(AG37="Accepted",AG37="Done"),"Done",IF(ISNUMBER(W37),IF(W37&lt;$N$3,"Overdue","Planned"),"Verify baseline")))</x:f>
        <x:v>Planned</x:v>
      </x:c>
    </x:row>
    <x:row r="38" ht="43" customHeight="1">
      <x:c r="A38" s="17" t="str">
        <x:v>UC-22 · Maintain Customer</x:v>
      </x:c>
      <x:c r="B38" s="2" t="str">
        <x:v>FE-02</x:v>
      </x:c>
      <x:c r="C38" s="17" t="str">
        <x:v>danghh · Customer, sales order and goods issue</x:v>
      </x:c>
      <x:c r="D38" s="2" t="str">
        <x:v>Use case</x:v>
      </x:c>
      <x:c r="E38" s="17" t="str">
        <x:v>Sales Staff maintains basic customer delivery/contact data and external identifiers; no commercial sales or CRM workflow.</x:v>
      </x:c>
      <x:c r="F38" s="2" t="str">
        <x:v>Medium</x:v>
      </x:c>
      <x:c r="G38" s="13" t="n">
        <x:f>SUM(AB38:AF38)</x:f>
        <x:v>0.75</x:v>
      </x:c>
      <x:c r="H38" s="2" t="str">
        <x:v>Iteration 1</x:v>
      </x:c>
      <x:c r="I38" s="21" t="str">
        <x:v>To Do</x:v>
      </x:c>
      <x:c r="J38" s="21" t="str">
        <x:v>Review due</x:v>
      </x:c>
      <x:c r="K38" s="2" t="str">
        <x:v>danghh</x:v>
      </x:c>
      <x:c r="L38" s="4" t="d">
        <x:v>2026-11-27T00:00:00.000Z</x:v>
      </x:c>
      <x:c r="M38" s="21" t="str">
        <x:v>To Do</x:v>
      </x:c>
      <x:c r="N38" s="2" t="str">
        <x:v>minhtd</x:v>
      </x:c>
      <x:c r="O38" s="4" t="d">
        <x:v>2026-11-27T00:00:00.000Z</x:v>
      </x:c>
      <x:c r="P38" s="21" t="str">
        <x:v>Not Run</x:v>
      </x:c>
      <x:c r="Q38" s="2" t="str">
        <x:v>minhtd</x:v>
      </x:c>
      <x:c r="R38" s="4" t="d">
        <x:v>2026-11-27T00:00:00.000Z</x:v>
      </x:c>
      <x:c r="S38" s="17" t="str">
        <x:v>Complete = FE + API + business rules + authorization + unit tests + peer review + passed integration + synchronized documentation.</x:v>
      </x:c>
      <x:c r="T38" s="2" t="str">
        <x:v>UC-22</x:v>
      </x:c>
      <x:c r="U38" s="2" t="str">
        <x:v>danghh</x:v>
      </x:c>
      <x:c r="V38" s="4" t="d">
        <x:v>2026-10-26T00:00:00.000Z</x:v>
      </x:c>
      <x:c r="W38" s="4" t="d">
        <x:v>2026-10-30T00:00:00.000Z</x:v>
      </x:c>
      <x:c r="X38" s="22" t="n">
        <x:v>0</x:v>
      </x:c>
      <x:c r="Y38" s="23"/>
      <x:c r="Z38" s="17" t="str">
        <x:v>CORE-01; shared contracts</x:v>
      </x:c>
      <x:c r="AA38" s="2" t="str">
        <x:v>ACTIVE</x:v>
      </x:c>
      <x:c r="AB38" s="23" t="n">
        <x:v>0.75</x:v>
      </x:c>
      <x:c r="AC38" s="23" t="n">
        <x:v>0</x:v>
      </x:c>
      <x:c r="AD38" s="23" t="n">
        <x:v>0</x:v>
      </x:c>
      <x:c r="AE38" s="23" t="n">
        <x:v>0</x:v>
      </x:c>
      <x:c r="AF38" s="23" t="n">
        <x:v>0</x:v>
      </x:c>
      <x:c r="AG38" s="2" t="str">
        <x:f>IF(AA38="RETIRED","Excluded",IF(AA38="ACTIVE",IF(AND(I38="Complete",J38="Reviewed",M38="Ready",P38="Passed",X38=1),"Accepted","Pending"),IF(AND(I38="Complete",J38="Reviewed"),"Done","Pending")))</x:f>
        <x:v>Pending</x:v>
      </x:c>
      <x:c r="AH38" s="2" t="str">
        <x:f>IF(AA38="RETIRED","Excluded",IF(OR(AG38="Accepted",AG38="Done"),"Done",IF(ISNUMBER(W38),IF(W38&lt;$N$3,"Overdue","Planned"),"Verify baseline")))</x:f>
        <x:v>Planned</x:v>
      </x:c>
    </x:row>
    <x:row r="39" ht="43" customHeight="1">
      <x:c r="A39" s="17" t="str">
        <x:v>UC-23 · View Selling Price List</x:v>
      </x:c>
      <x:c r="B39" s="2" t="str">
        <x:v>FE-02</x:v>
      </x:c>
      <x:c r="C39" s="17" t="str">
        <x:v>Retired history</x:v>
      </x:c>
      <x:c r="D39" s="2" t="str">
        <x:v>Use case</x:v>
      </x:c>
      <x:c r="E39" s="17" t="str">
        <x:v>Historical identifier retained; unavailable in the selected To-be. Commercial pricing remains in MISA.</x:v>
      </x:c>
      <x:c r="F39" s="2" t="str">
        <x:v>Simple</x:v>
      </x:c>
      <x:c r="G39" s="13" t="n">
        <x:f>SUM(AB39:AF39)</x:f>
        <x:v>0</x:v>
      </x:c>
      <x:c r="H39" s="2" t="str">
        <x:v>Excluded</x:v>
      </x:c>
      <x:c r="I39" s="21" t="str">
        <x:v>Retired</x:v>
      </x:c>
      <x:c r="J39" s="21" t="str">
        <x:v>Retired</x:v>
      </x:c>
      <x:c r="K39" s="2"/>
      <x:c r="L39" s="4"/>
      <x:c r="M39" s="21" t="str">
        <x:v>N/A</x:v>
      </x:c>
      <x:c r="N39" s="2"/>
      <x:c r="O39" s="4"/>
      <x:c r="P39" s="21" t="str">
        <x:v>N/A</x:v>
      </x:c>
      <x:c r="Q39" s="2"/>
      <x:c r="R39" s="4"/>
      <x:c r="S39" s="17" t="str">
        <x:v>Historical ID only; no active route, permission, screen action or delivery effort.</x:v>
      </x:c>
      <x:c r="T39" s="2" t="str">
        <x:v>UC-23</x:v>
      </x:c>
      <x:c r="U39" s="2"/>
      <x:c r="V39" s="4"/>
      <x:c r="W39" s="4" t="d">
        <x:v>2026-11-13T00:00:00.000Z</x:v>
      </x:c>
      <x:c r="X39" s="22"/>
      <x:c r="Y39" s="23"/>
      <x:c r="Z39" s="17" t="str">
        <x:v>Shared stock/UOM/permission contracts</x:v>
      </x:c>
      <x:c r="AA39" s="2" t="str">
        <x:v>RETIRED</x:v>
      </x:c>
      <x:c r="AB39" s="23" t="n">
        <x:v>0</x:v>
      </x:c>
      <x:c r="AC39" s="23" t="n">
        <x:v>0</x:v>
      </x:c>
      <x:c r="AD39" s="23" t="n">
        <x:v>0</x:v>
      </x:c>
      <x:c r="AE39" s="23" t="n">
        <x:v>0</x:v>
      </x:c>
      <x:c r="AF39" s="23" t="n">
        <x:v>0</x:v>
      </x:c>
      <x:c r="AG39" s="2" t="str">
        <x:f>IF(AA39="RETIRED","Excluded",IF(AA39="ACTIVE",IF(AND(I39="Complete",J39="Reviewed",M39="Ready",P39="Passed",X39=1),"Accepted","Pending"),IF(AND(I39="Complete",J39="Reviewed"),"Done","Pending")))</x:f>
        <x:v>Excluded</x:v>
      </x:c>
      <x:c r="AH39" s="2" t="str">
        <x:f>IF(AA39="RETIRED","Excluded",IF(OR(AG39="Accepted",AG39="Done"),"Done",IF(ISNUMBER(W39),IF(W39&lt;$N$3,"Overdue","Planned"),"Verify baseline")))</x:f>
        <x:v>Excluded</x:v>
      </x:c>
    </x:row>
    <x:row r="40" ht="43" customHeight="1">
      <x:c r="A40" s="17" t="str">
        <x:v>UC-24 · View Selling Price Details</x:v>
      </x:c>
      <x:c r="B40" s="2" t="str">
        <x:v>FE-02</x:v>
      </x:c>
      <x:c r="C40" s="17" t="str">
        <x:v>Retired history</x:v>
      </x:c>
      <x:c r="D40" s="2" t="str">
        <x:v>Use case</x:v>
      </x:c>
      <x:c r="E40" s="17" t="str">
        <x:v>Historical identifier retained; unavailable in the selected To-be. Commercial pricing remains in MISA.</x:v>
      </x:c>
      <x:c r="F40" s="2" t="str">
        <x:v>Simple</x:v>
      </x:c>
      <x:c r="G40" s="13" t="n">
        <x:f>SUM(AB40:AF40)</x:f>
        <x:v>0</x:v>
      </x:c>
      <x:c r="H40" s="2" t="str">
        <x:v>Excluded</x:v>
      </x:c>
      <x:c r="I40" s="21" t="str">
        <x:v>Retired</x:v>
      </x:c>
      <x:c r="J40" s="21" t="str">
        <x:v>Retired</x:v>
      </x:c>
      <x:c r="K40" s="2"/>
      <x:c r="L40" s="4"/>
      <x:c r="M40" s="21" t="str">
        <x:v>N/A</x:v>
      </x:c>
      <x:c r="N40" s="2"/>
      <x:c r="O40" s="4"/>
      <x:c r="P40" s="21" t="str">
        <x:v>N/A</x:v>
      </x:c>
      <x:c r="Q40" s="2"/>
      <x:c r="R40" s="4"/>
      <x:c r="S40" s="17" t="str">
        <x:v>Historical ID only; no active route, permission, screen action or delivery effort.</x:v>
      </x:c>
      <x:c r="T40" s="2" t="str">
        <x:v>UC-24</x:v>
      </x:c>
      <x:c r="U40" s="2"/>
      <x:c r="V40" s="4"/>
      <x:c r="W40" s="4" t="d">
        <x:v>2026-11-13T00:00:00.000Z</x:v>
      </x:c>
      <x:c r="X40" s="22"/>
      <x:c r="Y40" s="23"/>
      <x:c r="Z40" s="17" t="str">
        <x:v>Shared stock/UOM/permission contracts</x:v>
      </x:c>
      <x:c r="AA40" s="2" t="str">
        <x:v>RETIRED</x:v>
      </x:c>
      <x:c r="AB40" s="23" t="n">
        <x:v>0</x:v>
      </x:c>
      <x:c r="AC40" s="23" t="n">
        <x:v>0</x:v>
      </x:c>
      <x:c r="AD40" s="23" t="n">
        <x:v>0</x:v>
      </x:c>
      <x:c r="AE40" s="23" t="n">
        <x:v>0</x:v>
      </x:c>
      <x:c r="AF40" s="23" t="n">
        <x:v>0</x:v>
      </x:c>
      <x:c r="AG40" s="2" t="str">
        <x:f>IF(AA40="RETIRED","Excluded",IF(AA40="ACTIVE",IF(AND(I40="Complete",J40="Reviewed",M40="Ready",P40="Passed",X40=1),"Accepted","Pending"),IF(AND(I40="Complete",J40="Reviewed"),"Done","Pending")))</x:f>
        <x:v>Excluded</x:v>
      </x:c>
      <x:c r="AH40" s="2" t="str">
        <x:f>IF(AA40="RETIRED","Excluded",IF(OR(AG40="Accepted",AG40="Done"),"Done",IF(ISNUMBER(W40),IF(W40&lt;$N$3,"Overdue","Planned"),"Verify baseline")))</x:f>
        <x:v>Excluded</x:v>
      </x:c>
    </x:row>
    <x:row r="41" ht="43" customHeight="1">
      <x:c r="A41" s="17" t="str">
        <x:v>UC-25 · Maintain Selling Price</x:v>
      </x:c>
      <x:c r="B41" s="2" t="str">
        <x:v>FE-02</x:v>
      </x:c>
      <x:c r="C41" s="17" t="str">
        <x:v>Retired history</x:v>
      </x:c>
      <x:c r="D41" s="2" t="str">
        <x:v>Use case</x:v>
      </x:c>
      <x:c r="E41" s="17" t="str">
        <x:v>Historical identifier retained; unavailable in the selected To-be. Commercial pricing remains in MISA.</x:v>
      </x:c>
      <x:c r="F41" s="2" t="str">
        <x:v>Simple</x:v>
      </x:c>
      <x:c r="G41" s="13" t="n">
        <x:f>SUM(AB41:AF41)</x:f>
        <x:v>0</x:v>
      </x:c>
      <x:c r="H41" s="2" t="str">
        <x:v>Excluded</x:v>
      </x:c>
      <x:c r="I41" s="21" t="str">
        <x:v>Retired</x:v>
      </x:c>
      <x:c r="J41" s="21" t="str">
        <x:v>Retired</x:v>
      </x:c>
      <x:c r="K41" s="2"/>
      <x:c r="L41" s="4"/>
      <x:c r="M41" s="21" t="str">
        <x:v>N/A</x:v>
      </x:c>
      <x:c r="N41" s="2"/>
      <x:c r="O41" s="4"/>
      <x:c r="P41" s="21" t="str">
        <x:v>N/A</x:v>
      </x:c>
      <x:c r="Q41" s="2"/>
      <x:c r="R41" s="4"/>
      <x:c r="S41" s="17" t="str">
        <x:v>Historical ID only; no active route, permission, screen action or delivery effort.</x:v>
      </x:c>
      <x:c r="T41" s="2" t="str">
        <x:v>UC-25</x:v>
      </x:c>
      <x:c r="U41" s="2"/>
      <x:c r="V41" s="4"/>
      <x:c r="W41" s="4" t="d">
        <x:v>2026-11-13T00:00:00.000Z</x:v>
      </x:c>
      <x:c r="X41" s="22"/>
      <x:c r="Y41" s="23"/>
      <x:c r="Z41" s="17" t="str">
        <x:v>Shared stock/UOM/permission contracts</x:v>
      </x:c>
      <x:c r="AA41" s="2" t="str">
        <x:v>RETIRED</x:v>
      </x:c>
      <x:c r="AB41" s="23" t="n">
        <x:v>0</x:v>
      </x:c>
      <x:c r="AC41" s="23" t="n">
        <x:v>0</x:v>
      </x:c>
      <x:c r="AD41" s="23" t="n">
        <x:v>0</x:v>
      </x:c>
      <x:c r="AE41" s="23" t="n">
        <x:v>0</x:v>
      </x:c>
      <x:c r="AF41" s="23" t="n">
        <x:v>0</x:v>
      </x:c>
      <x:c r="AG41" s="2" t="str">
        <x:f>IF(AA41="RETIRED","Excluded",IF(AA41="ACTIVE",IF(AND(I41="Complete",J41="Reviewed",M41="Ready",P41="Passed",X41=1),"Accepted","Pending"),IF(AND(I41="Complete",J41="Reviewed"),"Done","Pending")))</x:f>
        <x:v>Excluded</x:v>
      </x:c>
      <x:c r="AH41" s="2" t="str">
        <x:f>IF(AA41="RETIRED","Excluded",IF(OR(AG41="Accepted",AG41="Done"),"Done",IF(ISNUMBER(W41),IF(W41&lt;$N$3,"Overdue","Planned"),"Verify baseline")))</x:f>
        <x:v>Excluded</x:v>
      </x:c>
    </x:row>
    <x:row r="42" ht="61" customHeight="1">
      <x:c r="A42" s="17" t="str">
        <x:v>UC-26 · Inspect and Post Goods Receipt</x:v>
      </x:c>
      <x:c r="B42" s="2" t="str">
        <x:v>FE-03</x:v>
      </x:c>
      <x:c r="C42" s="17" t="str">
        <x:v>minhtd · Purchase, receiving and put-away</x:v>
      </x:c>
      <x:c r="D42" s="2" t="str">
        <x:v>Use case</x:v>
      </x:c>
      <x:c r="E42" s="17" t="str">
        <x:v>Warehouse Staff inspects each delivered quantity and posts only accepted ownership by quality/location once. Owner/Accountant may assist physically and be recorded in evidence; they do not inherit GR posting rights. Custody is separate; torn packaging alone is not damage.</x:v>
      </x:c>
      <x:c r="F42" s="2" t="str">
        <x:v>Complex</x:v>
      </x:c>
      <x:c r="G42" s="13" t="n">
        <x:f>SUM(AB42:AF42)</x:f>
        <x:v>1.5</x:v>
      </x:c>
      <x:c r="H42" s="2" t="str">
        <x:v>Iteration 2</x:v>
      </x:c>
      <x:c r="I42" s="21" t="str">
        <x:v>To Do</x:v>
      </x:c>
      <x:c r="J42" s="21" t="str">
        <x:v>Review due</x:v>
      </x:c>
      <x:c r="K42" s="2" t="str">
        <x:v>minhtd</x:v>
      </x:c>
      <x:c r="L42" s="4" t="d">
        <x:v>2026-11-27T00:00:00.000Z</x:v>
      </x:c>
      <x:c r="M42" s="21" t="str">
        <x:v>To Do</x:v>
      </x:c>
      <x:c r="N42" s="2" t="str">
        <x:v>hieudt</x:v>
      </x:c>
      <x:c r="O42" s="4" t="d">
        <x:v>2026-11-27T00:00:00.000Z</x:v>
      </x:c>
      <x:c r="P42" s="21" t="str">
        <x:v>Not Run</x:v>
      </x:c>
      <x:c r="Q42" s="2" t="str">
        <x:v>hieudt</x:v>
      </x:c>
      <x:c r="R42" s="4" t="d">
        <x:v>2026-11-27T00:00:00.000Z</x:v>
      </x:c>
      <x:c r="S42" s="17" t="str">
        <x:v>Complete = FE + API + business rules + authorization + unit tests + peer review + passed integration + synchronized documentation.</x:v>
      </x:c>
      <x:c r="T42" s="2" t="str">
        <x:v>UC-26</x:v>
      </x:c>
      <x:c r="U42" s="2" t="str">
        <x:v>minhtd</x:v>
      </x:c>
      <x:c r="V42" s="4" t="d">
        <x:v>2026-11-09T00:00:00.000Z</x:v>
      </x:c>
      <x:c r="W42" s="4" t="d">
        <x:v>2026-11-20T00:00:00.000Z</x:v>
      </x:c>
      <x:c r="X42" s="22" t="n">
        <x:v>0</x:v>
      </x:c>
      <x:c r="Y42" s="23"/>
      <x:c r="Z42" s="17" t="str">
        <x:v>Shared stock/UOM/permission contracts</x:v>
      </x:c>
      <x:c r="AA42" s="2" t="str">
        <x:v>ACTIVE</x:v>
      </x:c>
      <x:c r="AB42" s="23" t="n">
        <x:v>0</x:v>
      </x:c>
      <x:c r="AC42" s="23" t="n">
        <x:v>0</x:v>
      </x:c>
      <x:c r="AD42" s="23" t="n">
        <x:v>0.5</x:v>
      </x:c>
      <x:c r="AE42" s="23" t="n">
        <x:v>1</x:v>
      </x:c>
      <x:c r="AF42" s="23" t="n">
        <x:v>0</x:v>
      </x:c>
      <x:c r="AG42" s="2" t="str">
        <x:f>IF(AA42="RETIRED","Excluded",IF(AA42="ACTIVE",IF(AND(I42="Complete",J42="Reviewed",M42="Ready",P42="Passed",X42=1),"Accepted","Pending"),IF(AND(I42="Complete",J42="Reviewed"),"Done","Pending")))</x:f>
        <x:v>Pending</x:v>
      </x:c>
      <x:c r="AH42" s="2" t="str">
        <x:f>IF(AA42="RETIRED","Excluded",IF(OR(AG42="Accepted",AG42="Done"),"Done",IF(ISNUMBER(W42),IF(W42&lt;$N$3,"Overdue","Planned"),"Verify baseline")))</x:f>
        <x:v>Planned</x:v>
      </x:c>
    </x:row>
    <x:row r="43" ht="48" customHeight="1">
      <x:c r="A43" s="17" t="str">
        <x:v>UC-27 · View warehouse and location list</x:v>
      </x:c>
      <x:c r="B43" s="2" t="str">
        <x:v>FE-04</x:v>
      </x:c>
      <x:c r="C43" s="17" t="str">
        <x:v>hieudt · Inventory, relocation and warehouse transfer</x:v>
      </x:c>
      <x:c r="D43" s="2" t="str">
        <x:v>Use case</x:v>
      </x:c>
      <x:c r="E43" s="17" t="str">
        <x:v>Search by warehouse, area, aisle, rack, and location code.</x:v>
      </x:c>
      <x:c r="F43" s="2" t="str">
        <x:v>Simple</x:v>
      </x:c>
      <x:c r="G43" s="13" t="n">
        <x:f>SUM(AB43:AF43)</x:f>
        <x:v>0.25</x:v>
      </x:c>
      <x:c r="H43" s="2" t="str">
        <x:v>Iteration 1</x:v>
      </x:c>
      <x:c r="I43" s="21" t="str">
        <x:v>To Do</x:v>
      </x:c>
      <x:c r="J43" s="21" t="str">
        <x:v>Review due</x:v>
      </x:c>
      <x:c r="K43" s="2" t="str">
        <x:v>hieudt</x:v>
      </x:c>
      <x:c r="L43" s="4" t="d">
        <x:v>2026-11-27T00:00:00.000Z</x:v>
      </x:c>
      <x:c r="M43" s="21" t="str">
        <x:v>To Do</x:v>
      </x:c>
      <x:c r="N43" s="2" t="str">
        <x:v>bachhm</x:v>
      </x:c>
      <x:c r="O43" s="4" t="d">
        <x:v>2026-11-27T00:00:00.000Z</x:v>
      </x:c>
      <x:c r="P43" s="21" t="str">
        <x:v>Not Run</x:v>
      </x:c>
      <x:c r="Q43" s="2" t="str">
        <x:v>bachhm</x:v>
      </x:c>
      <x:c r="R43" s="4" t="d">
        <x:v>2026-11-27T00:00:00.000Z</x:v>
      </x:c>
      <x:c r="S43" s="17" t="str">
        <x:v>Complete = FE + API + business rules + authorization + unit tests + peer review + passed integration + synchronized documentation.</x:v>
      </x:c>
      <x:c r="T43" s="2" t="str">
        <x:v>UC-27</x:v>
      </x:c>
      <x:c r="U43" s="2" t="str">
        <x:v>hieudt</x:v>
      </x:c>
      <x:c r="V43" s="4" t="d">
        <x:v>2026-10-26T00:00:00.000Z</x:v>
      </x:c>
      <x:c r="W43" s="4" t="d">
        <x:v>2026-10-30T00:00:00.000Z</x:v>
      </x:c>
      <x:c r="X43" s="22" t="n">
        <x:v>0</x:v>
      </x:c>
      <x:c r="Y43" s="23"/>
      <x:c r="Z43" s="17" t="str">
        <x:v>CORE-01; shared contracts</x:v>
      </x:c>
      <x:c r="AA43" s="2" t="str">
        <x:v>ACTIVE</x:v>
      </x:c>
      <x:c r="AB43" s="23" t="n">
        <x:v>0.25</x:v>
      </x:c>
      <x:c r="AC43" s="23" t="n">
        <x:v>0</x:v>
      </x:c>
      <x:c r="AD43" s="23" t="n">
        <x:v>0</x:v>
      </x:c>
      <x:c r="AE43" s="23" t="n">
        <x:v>0</x:v>
      </x:c>
      <x:c r="AF43" s="23" t="n">
        <x:v>0</x:v>
      </x:c>
      <x:c r="AG43" s="2" t="str">
        <x:f>IF(AA43="RETIRED","Excluded",IF(AA43="ACTIVE",IF(AND(I43="Complete",J43="Reviewed",M43="Ready",P43="Passed",X43=1),"Accepted","Pending"),IF(AND(I43="Complete",J43="Reviewed"),"Done","Pending")))</x:f>
        <x:v>Pending</x:v>
      </x:c>
      <x:c r="AH43" s="2" t="str">
        <x:f>IF(AA43="RETIRED","Excluded",IF(OR(AG43="Accepted",AG43="Done"),"Done",IF(ISNUMBER(W43),IF(W43&lt;$N$3,"Overdue","Planned"),"Verify baseline")))</x:f>
        <x:v>Planned</x:v>
      </x:c>
    </x:row>
    <x:row r="44" ht="48" customHeight="1">
      <x:c r="A44" s="17" t="str">
        <x:v>UC-28 · View storage location details</x:v>
      </x:c>
      <x:c r="B44" s="2" t="str">
        <x:v>FE-04</x:v>
      </x:c>
      <x:c r="C44" s="17" t="str">
        <x:v>hieudt · Inventory, relocation and warehouse transfer</x:v>
      </x:c>
      <x:c r="D44" s="2" t="str">
        <x:v>Use case</x:v>
      </x:c>
      <x:c r="E44" s="17" t="str">
        <x:v>Display capacity, status, and lot-level quantities at a location.</x:v>
      </x:c>
      <x:c r="F44" s="2" t="str">
        <x:v>Simple</x:v>
      </x:c>
      <x:c r="G44" s="13" t="n">
        <x:f>SUM(AB44:AF44)</x:f>
        <x:v>0.25</x:v>
      </x:c>
      <x:c r="H44" s="2" t="str">
        <x:v>Iteration 1</x:v>
      </x:c>
      <x:c r="I44" s="21" t="str">
        <x:v>To Do</x:v>
      </x:c>
      <x:c r="J44" s="21" t="str">
        <x:v>Review due</x:v>
      </x:c>
      <x:c r="K44" s="2" t="str">
        <x:v>hieudt</x:v>
      </x:c>
      <x:c r="L44" s="4" t="d">
        <x:v>2026-11-27T00:00:00.000Z</x:v>
      </x:c>
      <x:c r="M44" s="21" t="str">
        <x:v>To Do</x:v>
      </x:c>
      <x:c r="N44" s="2" t="str">
        <x:v>bachhm</x:v>
      </x:c>
      <x:c r="O44" s="4" t="d">
        <x:v>2026-11-27T00:00:00.000Z</x:v>
      </x:c>
      <x:c r="P44" s="21" t="str">
        <x:v>Not Run</x:v>
      </x:c>
      <x:c r="Q44" s="2" t="str">
        <x:v>bachhm</x:v>
      </x:c>
      <x:c r="R44" s="4" t="d">
        <x:v>2026-11-27T00:00:00.000Z</x:v>
      </x:c>
      <x:c r="S44" s="17" t="str">
        <x:v>Complete = FE + API + business rules + authorization + unit tests + peer review + passed integration + synchronized documentation.</x:v>
      </x:c>
      <x:c r="T44" s="2" t="str">
        <x:v>UC-28</x:v>
      </x:c>
      <x:c r="U44" s="2" t="str">
        <x:v>hieudt</x:v>
      </x:c>
      <x:c r="V44" s="4" t="d">
        <x:v>2026-10-26T00:00:00.000Z</x:v>
      </x:c>
      <x:c r="W44" s="4" t="d">
        <x:v>2026-10-30T00:00:00.000Z</x:v>
      </x:c>
      <x:c r="X44" s="22" t="n">
        <x:v>0</x:v>
      </x:c>
      <x:c r="Y44" s="23"/>
      <x:c r="Z44" s="17" t="str">
        <x:v>CORE-01; shared contracts</x:v>
      </x:c>
      <x:c r="AA44" s="2" t="str">
        <x:v>ACTIVE</x:v>
      </x:c>
      <x:c r="AB44" s="23" t="n">
        <x:v>0.25</x:v>
      </x:c>
      <x:c r="AC44" s="23" t="n">
        <x:v>0</x:v>
      </x:c>
      <x:c r="AD44" s="23" t="n">
        <x:v>0</x:v>
      </x:c>
      <x:c r="AE44" s="23" t="n">
        <x:v>0</x:v>
      </x:c>
      <x:c r="AF44" s="23" t="n">
        <x:v>0</x:v>
      </x:c>
      <x:c r="AG44" s="2" t="str">
        <x:f>IF(AA44="RETIRED","Excluded",IF(AA44="ACTIVE",IF(AND(I44="Complete",J44="Reviewed",M44="Ready",P44="Passed",X44=1),"Accepted","Pending"),IF(AND(I44="Complete",J44="Reviewed"),"Done","Pending")))</x:f>
        <x:v>Pending</x:v>
      </x:c>
      <x:c r="AH44" s="2" t="str">
        <x:f>IF(AA44="RETIRED","Excluded",IF(OR(AG44="Accepted",AG44="Done"),"Done",IF(ISNUMBER(W44),IF(W44&lt;$N$3,"Overdue","Planned"),"Verify baseline")))</x:f>
        <x:v>Planned</x:v>
      </x:c>
    </x:row>
    <x:row r="45" ht="48" customHeight="1">
      <x:c r="A45" s="17" t="str">
        <x:v>UC-29 · Maintain Storage Location</x:v>
      </x:c>
      <x:c r="B45" s="2" t="str">
        <x:v>FE-04</x:v>
      </x:c>
      <x:c r="C45" s="17" t="str">
        <x:v>hieudt · Inventory, relocation and warehouse transfer</x:v>
      </x:c>
      <x:c r="D45" s="2" t="str">
        <x:v>Use case</x:v>
      </x:c>
      <x:c r="E45" s="17" t="str">
        <x:v>Create, update or deactivate storage locations.</x:v>
      </x:c>
      <x:c r="F45" s="2" t="str">
        <x:v>Medium</x:v>
      </x:c>
      <x:c r="G45" s="13" t="n">
        <x:f>SUM(AB45:AF45)</x:f>
        <x:v>0.75</x:v>
      </x:c>
      <x:c r="H45" s="2" t="str">
        <x:v>Iteration 1</x:v>
      </x:c>
      <x:c r="I45" s="21" t="str">
        <x:v>To Do</x:v>
      </x:c>
      <x:c r="J45" s="21" t="str">
        <x:v>Review due</x:v>
      </x:c>
      <x:c r="K45" s="2" t="str">
        <x:v>hieudt</x:v>
      </x:c>
      <x:c r="L45" s="4" t="d">
        <x:v>2026-11-27T00:00:00.000Z</x:v>
      </x:c>
      <x:c r="M45" s="21" t="str">
        <x:v>To Do</x:v>
      </x:c>
      <x:c r="N45" s="2" t="str">
        <x:v>bachhm</x:v>
      </x:c>
      <x:c r="O45" s="4" t="d">
        <x:v>2026-11-27T00:00:00.000Z</x:v>
      </x:c>
      <x:c r="P45" s="21" t="str">
        <x:v>Not Run</x:v>
      </x:c>
      <x:c r="Q45" s="2" t="str">
        <x:v>bachhm</x:v>
      </x:c>
      <x:c r="R45" s="4" t="d">
        <x:v>2026-11-27T00:00:00.000Z</x:v>
      </x:c>
      <x:c r="S45" s="17" t="str">
        <x:v>Complete = FE + API + business rules + authorization + unit tests + peer review + passed integration + synchronized documentation.</x:v>
      </x:c>
      <x:c r="T45" s="2" t="str">
        <x:v>UC-29</x:v>
      </x:c>
      <x:c r="U45" s="2" t="str">
        <x:v>hieudt</x:v>
      </x:c>
      <x:c r="V45" s="4" t="d">
        <x:v>2026-10-26T00:00:00.000Z</x:v>
      </x:c>
      <x:c r="W45" s="4" t="d">
        <x:v>2026-10-30T00:00:00.000Z</x:v>
      </x:c>
      <x:c r="X45" s="22" t="n">
        <x:v>0</x:v>
      </x:c>
      <x:c r="Y45" s="23"/>
      <x:c r="Z45" s="17" t="str">
        <x:v>CORE-01; shared contracts</x:v>
      </x:c>
      <x:c r="AA45" s="2" t="str">
        <x:v>ACTIVE</x:v>
      </x:c>
      <x:c r="AB45" s="23" t="n">
        <x:v>0.75</x:v>
      </x:c>
      <x:c r="AC45" s="23" t="n">
        <x:v>0</x:v>
      </x:c>
      <x:c r="AD45" s="23" t="n">
        <x:v>0</x:v>
      </x:c>
      <x:c r="AE45" s="23" t="n">
        <x:v>0</x:v>
      </x:c>
      <x:c r="AF45" s="23" t="n">
        <x:v>0</x:v>
      </x:c>
      <x:c r="AG45" s="2" t="str">
        <x:f>IF(AA45="RETIRED","Excluded",IF(AA45="ACTIVE",IF(AND(I45="Complete",J45="Reviewed",M45="Ready",P45="Passed",X45=1),"Accepted","Pending"),IF(AND(I45="Complete",J45="Reviewed"),"Done","Pending")))</x:f>
        <x:v>Pending</x:v>
      </x:c>
      <x:c r="AH45" s="2" t="str">
        <x:f>IF(AA45="RETIRED","Excluded",IF(OR(AG45="Accepted",AG45="Done"),"Done",IF(ISNUMBER(W45),IF(W45&lt;$N$3,"Overdue","Planned"),"Verify baseline")))</x:f>
        <x:v>Planned</x:v>
      </x:c>
    </x:row>
    <x:row r="46" ht="48" customHeight="1">
      <x:c r="A46" s="17" t="str">
        <x:v>UC-30 · View stock by lot, location, and quality status</x:v>
      </x:c>
      <x:c r="B46" s="2" t="str">
        <x:v>FE-04</x:v>
      </x:c>
      <x:c r="C46" s="17" t="str">
        <x:v>hieudt · Inventory, relocation and warehouse transfer</x:v>
      </x:c>
      <x:c r="D46" s="2" t="str">
        <x:v>Use case</x:v>
      </x:c>
      <x:c r="E46" s="17" t="str">
        <x:v>Show stock by warehouse/location/lot/quality/ownership, with reserved, available and in-transit quantities separated and restricted by data scope.</x:v>
      </x:c>
      <x:c r="F46" s="2" t="str">
        <x:v>Simple</x:v>
      </x:c>
      <x:c r="G46" s="13" t="n">
        <x:f>SUM(AB46:AF46)</x:f>
        <x:v>0.25</x:v>
      </x:c>
      <x:c r="H46" s="2" t="str">
        <x:v>Iteration 1</x:v>
      </x:c>
      <x:c r="I46" s="21" t="str">
        <x:v>To Do</x:v>
      </x:c>
      <x:c r="J46" s="21" t="str">
        <x:v>Review due</x:v>
      </x:c>
      <x:c r="K46" s="2" t="str">
        <x:v>hieudt</x:v>
      </x:c>
      <x:c r="L46" s="4" t="d">
        <x:v>2026-11-27T00:00:00.000Z</x:v>
      </x:c>
      <x:c r="M46" s="21" t="str">
        <x:v>To Do</x:v>
      </x:c>
      <x:c r="N46" s="2" t="str">
        <x:v>bachhm</x:v>
      </x:c>
      <x:c r="O46" s="4" t="d">
        <x:v>2026-11-27T00:00:00.000Z</x:v>
      </x:c>
      <x:c r="P46" s="21" t="str">
        <x:v>Not Run</x:v>
      </x:c>
      <x:c r="Q46" s="2" t="str">
        <x:v>bachhm</x:v>
      </x:c>
      <x:c r="R46" s="4" t="d">
        <x:v>2026-11-27T00:00:00.000Z</x:v>
      </x:c>
      <x:c r="S46" s="17" t="str">
        <x:v>Complete = FE + API + business rules + authorization + unit tests + peer review + passed integration + synchronized documentation.</x:v>
      </x:c>
      <x:c r="T46" s="2" t="str">
        <x:v>UC-30</x:v>
      </x:c>
      <x:c r="U46" s="2" t="str">
        <x:v>hieudt</x:v>
      </x:c>
      <x:c r="V46" s="4" t="d">
        <x:v>2026-10-26T00:00:00.000Z</x:v>
      </x:c>
      <x:c r="W46" s="4" t="d">
        <x:v>2026-10-30T00:00:00.000Z</x:v>
      </x:c>
      <x:c r="X46" s="22" t="n">
        <x:v>0</x:v>
      </x:c>
      <x:c r="Y46" s="23"/>
      <x:c r="Z46" s="17" t="str">
        <x:v>CORE-01; shared contracts</x:v>
      </x:c>
      <x:c r="AA46" s="2" t="str">
        <x:v>ACTIVE</x:v>
      </x:c>
      <x:c r="AB46" s="23" t="n">
        <x:v>0.25</x:v>
      </x:c>
      <x:c r="AC46" s="23" t="n">
        <x:v>0</x:v>
      </x:c>
      <x:c r="AD46" s="23" t="n">
        <x:v>0</x:v>
      </x:c>
      <x:c r="AE46" s="23" t="n">
        <x:v>0</x:v>
      </x:c>
      <x:c r="AF46" s="23" t="n">
        <x:v>0</x:v>
      </x:c>
      <x:c r="AG46" s="2" t="str">
        <x:f>IF(AA46="RETIRED","Excluded",IF(AA46="ACTIVE",IF(AND(I46="Complete",J46="Reviewed",M46="Ready",P46="Passed",X46=1),"Accepted","Pending"),IF(AND(I46="Complete",J46="Reviewed"),"Done","Pending")))</x:f>
        <x:v>Pending</x:v>
      </x:c>
      <x:c r="AH46" s="2" t="str">
        <x:f>IF(AA46="RETIRED","Excluded",IF(OR(AG46="Accepted",AG46="Done"),"Done",IF(ISNUMBER(W46),IF(W46&lt;$N$3,"Overdue","Planned"),"Verify baseline")))</x:f>
        <x:v>Planned</x:v>
      </x:c>
    </x:row>
    <x:row r="47" ht="48" customHeight="1">
      <x:c r="A47" s="17" t="str">
        <x:v>UC-31 · View inventory balance details</x:v>
      </x:c>
      <x:c r="B47" s="2" t="str">
        <x:v>FE-04</x:v>
      </x:c>
      <x:c r="C47" s="17" t="str">
        <x:v>hieudt · Inventory, relocation and warehouse transfer</x:v>
      </x:c>
      <x:c r="D47" s="2" t="str">
        <x:v>Use case</x:v>
      </x:c>
      <x:c r="E47" s="17" t="str">
        <x:v>Display physical, usable, reserved, available, custody and transit balances with source movements; do not double count staging/reservations.</x:v>
      </x:c>
      <x:c r="F47" s="2" t="str">
        <x:v>Simple</x:v>
      </x:c>
      <x:c r="G47" s="13" t="n">
        <x:f>SUM(AB47:AF47)</x:f>
        <x:v>0.25</x:v>
      </x:c>
      <x:c r="H47" s="2" t="str">
        <x:v>Iteration 1</x:v>
      </x:c>
      <x:c r="I47" s="21" t="str">
        <x:v>To Do</x:v>
      </x:c>
      <x:c r="J47" s="21" t="str">
        <x:v>Review due</x:v>
      </x:c>
      <x:c r="K47" s="2" t="str">
        <x:v>hieudt</x:v>
      </x:c>
      <x:c r="L47" s="4" t="d">
        <x:v>2026-11-27T00:00:00.000Z</x:v>
      </x:c>
      <x:c r="M47" s="21" t="str">
        <x:v>To Do</x:v>
      </x:c>
      <x:c r="N47" s="2" t="str">
        <x:v>bachhm</x:v>
      </x:c>
      <x:c r="O47" s="4" t="d">
        <x:v>2026-11-27T00:00:00.000Z</x:v>
      </x:c>
      <x:c r="P47" s="21" t="str">
        <x:v>Not Run</x:v>
      </x:c>
      <x:c r="Q47" s="2" t="str">
        <x:v>bachhm</x:v>
      </x:c>
      <x:c r="R47" s="4" t="d">
        <x:v>2026-11-27T00:00:00.000Z</x:v>
      </x:c>
      <x:c r="S47" s="17" t="str">
        <x:v>Complete = FE + API + business rules + authorization + unit tests + peer review + passed integration + synchronized documentation.</x:v>
      </x:c>
      <x:c r="T47" s="2" t="str">
        <x:v>UC-31</x:v>
      </x:c>
      <x:c r="U47" s="2" t="str">
        <x:v>hieudt</x:v>
      </x:c>
      <x:c r="V47" s="4" t="d">
        <x:v>2026-10-26T00:00:00.000Z</x:v>
      </x:c>
      <x:c r="W47" s="4" t="d">
        <x:v>2026-10-30T00:00:00.000Z</x:v>
      </x:c>
      <x:c r="X47" s="22" t="n">
        <x:v>0</x:v>
      </x:c>
      <x:c r="Y47" s="23"/>
      <x:c r="Z47" s="17" t="str">
        <x:v>CORE-01; shared contracts</x:v>
      </x:c>
      <x:c r="AA47" s="2" t="str">
        <x:v>ACTIVE</x:v>
      </x:c>
      <x:c r="AB47" s="23" t="n">
        <x:v>0.25</x:v>
      </x:c>
      <x:c r="AC47" s="23" t="n">
        <x:v>0</x:v>
      </x:c>
      <x:c r="AD47" s="23" t="n">
        <x:v>0</x:v>
      </x:c>
      <x:c r="AE47" s="23" t="n">
        <x:v>0</x:v>
      </x:c>
      <x:c r="AF47" s="23" t="n">
        <x:v>0</x:v>
      </x:c>
      <x:c r="AG47" s="2" t="str">
        <x:f>IF(AA47="RETIRED","Excluded",IF(AA47="ACTIVE",IF(AND(I47="Complete",J47="Reviewed",M47="Ready",P47="Passed",X47=1),"Accepted","Pending"),IF(AND(I47="Complete",J47="Reviewed"),"Done","Pending")))</x:f>
        <x:v>Pending</x:v>
      </x:c>
      <x:c r="AH47" s="2" t="str">
        <x:f>IF(AA47="RETIRED","Excluded",IF(OR(AG47="Accepted",AG47="Done"),"Done",IF(ISNUMBER(W47),IF(W47&lt;$N$3,"Overdue","Planned"),"Verify baseline")))</x:f>
        <x:v>Planned</x:v>
      </x:c>
    </x:row>
    <x:row r="48" ht="43" customHeight="1">
      <x:c r="A48" s="17" t="str">
        <x:v>UC-32 · Create Put-away Task</x:v>
      </x:c>
      <x:c r="B48" s="2" t="str">
        <x:v>FE-04</x:v>
      </x:c>
      <x:c r="C48" s="17" t="str">
        <x:v>minhtd · Purchase, receiving and put-away</x:v>
      </x:c>
      <x:c r="D48" s="2" t="str">
        <x:v>Use case</x:v>
      </x:c>
      <x:c r="E48" s="17" t="str">
        <x:v>Create or accept a suggested internal put-away task from a posted receipt; no second receiving or approval document.</x:v>
      </x:c>
      <x:c r="F48" s="2" t="str">
        <x:v>Medium</x:v>
      </x:c>
      <x:c r="G48" s="13" t="n">
        <x:f>SUM(AB48:AF48)</x:f>
        <x:v>0.75</x:v>
      </x:c>
      <x:c r="H48" s="2" t="str">
        <x:v>Iteration 2</x:v>
      </x:c>
      <x:c r="I48" s="21" t="str">
        <x:v>To Do</x:v>
      </x:c>
      <x:c r="J48" s="21" t="str">
        <x:v>Review due</x:v>
      </x:c>
      <x:c r="K48" s="2" t="str">
        <x:v>minhtd</x:v>
      </x:c>
      <x:c r="L48" s="4" t="d">
        <x:v>2026-11-27T00:00:00.000Z</x:v>
      </x:c>
      <x:c r="M48" s="21" t="str">
        <x:v>To Do</x:v>
      </x:c>
      <x:c r="N48" s="2" t="str">
        <x:v>hieudt</x:v>
      </x:c>
      <x:c r="O48" s="4" t="d">
        <x:v>2026-11-27T00:00:00.000Z</x:v>
      </x:c>
      <x:c r="P48" s="21" t="str">
        <x:v>Not Run</x:v>
      </x:c>
      <x:c r="Q48" s="2" t="str">
        <x:v>hieudt</x:v>
      </x:c>
      <x:c r="R48" s="4" t="d">
        <x:v>2026-11-27T00:00:00.000Z</x:v>
      </x:c>
      <x:c r="S48" s="17" t="str">
        <x:v>Complete = FE + API + business rules + authorization + unit tests + peer review + passed integration + synchronized documentation.</x:v>
      </x:c>
      <x:c r="T48" s="2" t="str">
        <x:v>UC-32</x:v>
      </x:c>
      <x:c r="U48" s="2" t="str">
        <x:v>minhtd</x:v>
      </x:c>
      <x:c r="V48" s="4" t="d">
        <x:v>2026-11-16T00:00:00.000Z</x:v>
      </x:c>
      <x:c r="W48" s="4" t="d">
        <x:v>2026-11-20T00:00:00.000Z</x:v>
      </x:c>
      <x:c r="X48" s="22" t="n">
        <x:v>0</x:v>
      </x:c>
      <x:c r="Y48" s="23"/>
      <x:c r="Z48" s="17" t="str">
        <x:v>Shared stock/UOM/permission contracts</x:v>
      </x:c>
      <x:c r="AA48" s="2" t="str">
        <x:v>ACTIVE</x:v>
      </x:c>
      <x:c r="AB48" s="23" t="n">
        <x:v>0</x:v>
      </x:c>
      <x:c r="AC48" s="23" t="n">
        <x:v>0</x:v>
      </x:c>
      <x:c r="AD48" s="23" t="n">
        <x:v>0</x:v>
      </x:c>
      <x:c r="AE48" s="23" t="n">
        <x:v>0.75</x:v>
      </x:c>
      <x:c r="AF48" s="23" t="n">
        <x:v>0</x:v>
      </x:c>
      <x:c r="AG48" s="2" t="str">
        <x:f>IF(AA48="RETIRED","Excluded",IF(AA48="ACTIVE",IF(AND(I48="Complete",J48="Reviewed",M48="Ready",P48="Passed",X48=1),"Accepted","Pending"),IF(AND(I48="Complete",J48="Reviewed"),"Done","Pending")))</x:f>
        <x:v>Pending</x:v>
      </x:c>
      <x:c r="AH48" s="2" t="str">
        <x:f>IF(AA48="RETIRED","Excluded",IF(OR(AG48="Accepted",AG48="Done"),"Done",IF(ISNUMBER(W48),IF(W48&lt;$N$3,"Overdue","Planned"),"Verify baseline")))</x:f>
        <x:v>Planned</x:v>
      </x:c>
    </x:row>
    <x:row r="49" ht="43" customHeight="1">
      <x:c r="A49" s="17" t="str">
        <x:v>UC-33 · Confirm Put-away Task</x:v>
      </x:c>
      <x:c r="B49" s="2" t="str">
        <x:v>FE-04</x:v>
      </x:c>
      <x:c r="C49" s="17" t="str">
        <x:v>minhtd · Purchase, receiving and put-away</x:v>
      </x:c>
      <x:c r="D49" s="2" t="str">
        <x:v>Use case</x:v>
      </x:c>
      <x:c r="E49" s="17" t="str">
        <x:v>Warehouse Staff confirms actual placement, preserving total owned quantity and quality. Make accepted stock allocatable only in a suitable location.</x:v>
      </x:c>
      <x:c r="F49" s="2" t="str">
        <x:v>Medium</x:v>
      </x:c>
      <x:c r="G49" s="13" t="n">
        <x:f>SUM(AB49:AF49)</x:f>
        <x:v>1</x:v>
      </x:c>
      <x:c r="H49" s="2" t="str">
        <x:v>Iteration 2</x:v>
      </x:c>
      <x:c r="I49" s="21" t="str">
        <x:v>To Do</x:v>
      </x:c>
      <x:c r="J49" s="21" t="str">
        <x:v>Review due</x:v>
      </x:c>
      <x:c r="K49" s="2" t="str">
        <x:v>minhtd</x:v>
      </x:c>
      <x:c r="L49" s="4" t="d">
        <x:v>2026-11-27T00:00:00.000Z</x:v>
      </x:c>
      <x:c r="M49" s="21" t="str">
        <x:v>To Do</x:v>
      </x:c>
      <x:c r="N49" s="2" t="str">
        <x:v>hieudt</x:v>
      </x:c>
      <x:c r="O49" s="4" t="d">
        <x:v>2026-11-27T00:00:00.000Z</x:v>
      </x:c>
      <x:c r="P49" s="21" t="str">
        <x:v>Not Run</x:v>
      </x:c>
      <x:c r="Q49" s="2" t="str">
        <x:v>hieudt</x:v>
      </x:c>
      <x:c r="R49" s="4" t="d">
        <x:v>2026-11-27T00:00:00.000Z</x:v>
      </x:c>
      <x:c r="S49" s="17" t="str">
        <x:v>Complete = FE + API + business rules + authorization + unit tests + peer review + passed integration + synchronized documentation.</x:v>
      </x:c>
      <x:c r="T49" s="2" t="str">
        <x:v>UC-33</x:v>
      </x:c>
      <x:c r="U49" s="2" t="str">
        <x:v>minhtd</x:v>
      </x:c>
      <x:c r="V49" s="4" t="d">
        <x:v>2026-11-16T00:00:00.000Z</x:v>
      </x:c>
      <x:c r="W49" s="4" t="d">
        <x:v>2026-11-20T00:00:00.000Z</x:v>
      </x:c>
      <x:c r="X49" s="22" t="n">
        <x:v>0</x:v>
      </x:c>
      <x:c r="Y49" s="23"/>
      <x:c r="Z49" s="17" t="str">
        <x:v>Shared stock/UOM/permission contracts</x:v>
      </x:c>
      <x:c r="AA49" s="2" t="str">
        <x:v>ACTIVE</x:v>
      </x:c>
      <x:c r="AB49" s="23" t="n">
        <x:v>0</x:v>
      </x:c>
      <x:c r="AC49" s="23" t="n">
        <x:v>0</x:v>
      </x:c>
      <x:c r="AD49" s="23" t="n">
        <x:v>0</x:v>
      </x:c>
      <x:c r="AE49" s="23" t="n">
        <x:v>1</x:v>
      </x:c>
      <x:c r="AF49" s="23" t="n">
        <x:v>0</x:v>
      </x:c>
      <x:c r="AG49" s="2" t="str">
        <x:f>IF(AA49="RETIRED","Excluded",IF(AA49="ACTIVE",IF(AND(I49="Complete",J49="Reviewed",M49="Ready",P49="Passed",X49=1),"Accepted","Pending"),IF(AND(I49="Complete",J49="Reviewed"),"Done","Pending")))</x:f>
        <x:v>Pending</x:v>
      </x:c>
      <x:c r="AH49" s="2" t="str">
        <x:f>IF(AA49="RETIRED","Excluded",IF(OR(AG49="Accepted",AG49="Done"),"Done",IF(ISNUMBER(W49),IF(W49&lt;$N$3,"Overdue","Planned"),"Verify baseline")))</x:f>
        <x:v>Planned</x:v>
      </x:c>
    </x:row>
    <x:row r="50" ht="48" customHeight="1">
      <x:c r="A50" s="17" t="str">
        <x:v>UC-34 · View location movement list</x:v>
      </x:c>
      <x:c r="B50" s="2" t="str">
        <x:v>FE-04</x:v>
      </x:c>
      <x:c r="C50" s="17" t="str">
        <x:v>hieudt · Inventory, relocation and warehouse transfer</x:v>
      </x:c>
      <x:c r="D50" s="2" t="str">
        <x:v>Use case</x:v>
      </x:c>
      <x:c r="E50" s="17" t="str">
        <x:v>Search same-warehouse movements by lot and status.</x:v>
      </x:c>
      <x:c r="F50" s="2" t="str">
        <x:v>Simple</x:v>
      </x:c>
      <x:c r="G50" s="13" t="n">
        <x:f>SUM(AB50:AF50)</x:f>
        <x:v>0.25</x:v>
      </x:c>
      <x:c r="H50" s="2" t="str">
        <x:v>Iteration 1</x:v>
      </x:c>
      <x:c r="I50" s="21" t="str">
        <x:v>To Do</x:v>
      </x:c>
      <x:c r="J50" s="21" t="str">
        <x:v>Review due</x:v>
      </x:c>
      <x:c r="K50" s="2" t="str">
        <x:v>hieudt</x:v>
      </x:c>
      <x:c r="L50" s="4" t="d">
        <x:v>2026-11-27T00:00:00.000Z</x:v>
      </x:c>
      <x:c r="M50" s="21" t="str">
        <x:v>To Do</x:v>
      </x:c>
      <x:c r="N50" s="2" t="str">
        <x:v>bachhm</x:v>
      </x:c>
      <x:c r="O50" s="4" t="d">
        <x:v>2026-11-27T00:00:00.000Z</x:v>
      </x:c>
      <x:c r="P50" s="21" t="str">
        <x:v>Not Run</x:v>
      </x:c>
      <x:c r="Q50" s="2" t="str">
        <x:v>bachhm</x:v>
      </x:c>
      <x:c r="R50" s="4" t="d">
        <x:v>2026-11-27T00:00:00.000Z</x:v>
      </x:c>
      <x:c r="S50" s="17" t="str">
        <x:v>Complete = FE + API + business rules + authorization + unit tests + peer review + passed integration + synchronized documentation.</x:v>
      </x:c>
      <x:c r="T50" s="2" t="str">
        <x:v>UC-34</x:v>
      </x:c>
      <x:c r="U50" s="2" t="str">
        <x:v>hieudt</x:v>
      </x:c>
      <x:c r="V50" s="4" t="d">
        <x:v>2026-10-26T00:00:00.000Z</x:v>
      </x:c>
      <x:c r="W50" s="4" t="d">
        <x:v>2026-10-30T00:00:00.000Z</x:v>
      </x:c>
      <x:c r="X50" s="22" t="n">
        <x:v>0</x:v>
      </x:c>
      <x:c r="Y50" s="23"/>
      <x:c r="Z50" s="17" t="str">
        <x:v>Shared stock/UOM/permission contracts</x:v>
      </x:c>
      <x:c r="AA50" s="2" t="str">
        <x:v>ACTIVE</x:v>
      </x:c>
      <x:c r="AB50" s="23" t="n">
        <x:v>0.25</x:v>
      </x:c>
      <x:c r="AC50" s="23" t="n">
        <x:v>0</x:v>
      </x:c>
      <x:c r="AD50" s="23" t="n">
        <x:v>0</x:v>
      </x:c>
      <x:c r="AE50" s="23" t="n">
        <x:v>0</x:v>
      </x:c>
      <x:c r="AF50" s="23" t="n">
        <x:v>0</x:v>
      </x:c>
      <x:c r="AG50" s="2" t="str">
        <x:f>IF(AA50="RETIRED","Excluded",IF(AA50="ACTIVE",IF(AND(I50="Complete",J50="Reviewed",M50="Ready",P50="Passed",X50=1),"Accepted","Pending"),IF(AND(I50="Complete",J50="Reviewed"),"Done","Pending")))</x:f>
        <x:v>Pending</x:v>
      </x:c>
      <x:c r="AH50" s="2" t="str">
        <x:f>IF(AA50="RETIRED","Excluded",IF(OR(AG50="Accepted",AG50="Done"),"Done",IF(ISNUMBER(W50),IF(W50&lt;$N$3,"Overdue","Planned"),"Verify baseline")))</x:f>
        <x:v>Planned</x:v>
      </x:c>
    </x:row>
    <x:row r="51" ht="48" customHeight="1">
      <x:c r="A51" s="17" t="str">
        <x:v>UC-35 · View location movement details</x:v>
      </x:c>
      <x:c r="B51" s="2" t="str">
        <x:v>FE-04</x:v>
      </x:c>
      <x:c r="C51" s="17" t="str">
        <x:v>hieudt · Inventory, relocation and warehouse transfer</x:v>
      </x:c>
      <x:c r="D51" s="2" t="str">
        <x:v>Use case</x:v>
      </x:c>
      <x:c r="E51" s="17" t="str">
        <x:v>Display source, destination, and actual transferred quantities.</x:v>
      </x:c>
      <x:c r="F51" s="2" t="str">
        <x:v>Simple</x:v>
      </x:c>
      <x:c r="G51" s="13" t="n">
        <x:f>SUM(AB51:AF51)</x:f>
        <x:v>0.25</x:v>
      </x:c>
      <x:c r="H51" s="2" t="str">
        <x:v>Iteration 1</x:v>
      </x:c>
      <x:c r="I51" s="21" t="str">
        <x:v>To Do</x:v>
      </x:c>
      <x:c r="J51" s="21" t="str">
        <x:v>Review due</x:v>
      </x:c>
      <x:c r="K51" s="2" t="str">
        <x:v>hieudt</x:v>
      </x:c>
      <x:c r="L51" s="4" t="d">
        <x:v>2026-11-27T00:00:00.000Z</x:v>
      </x:c>
      <x:c r="M51" s="21" t="str">
        <x:v>To Do</x:v>
      </x:c>
      <x:c r="N51" s="2" t="str">
        <x:v>bachhm</x:v>
      </x:c>
      <x:c r="O51" s="4" t="d">
        <x:v>2026-11-27T00:00:00.000Z</x:v>
      </x:c>
      <x:c r="P51" s="21" t="str">
        <x:v>Not Run</x:v>
      </x:c>
      <x:c r="Q51" s="2" t="str">
        <x:v>bachhm</x:v>
      </x:c>
      <x:c r="R51" s="4" t="d">
        <x:v>2026-11-27T00:00:00.000Z</x:v>
      </x:c>
      <x:c r="S51" s="17" t="str">
        <x:v>Complete = FE + API + business rules + authorization + unit tests + peer review + passed integration + synchronized documentation.</x:v>
      </x:c>
      <x:c r="T51" s="2" t="str">
        <x:v>UC-35</x:v>
      </x:c>
      <x:c r="U51" s="2" t="str">
        <x:v>hieudt</x:v>
      </x:c>
      <x:c r="V51" s="4" t="d">
        <x:v>2026-10-26T00:00:00.000Z</x:v>
      </x:c>
      <x:c r="W51" s="4" t="d">
        <x:v>2026-10-30T00:00:00.000Z</x:v>
      </x:c>
      <x:c r="X51" s="22" t="n">
        <x:v>0</x:v>
      </x:c>
      <x:c r="Y51" s="23"/>
      <x:c r="Z51" s="17" t="str">
        <x:v>Shared stock/UOM/permission contracts</x:v>
      </x:c>
      <x:c r="AA51" s="2" t="str">
        <x:v>ACTIVE</x:v>
      </x:c>
      <x:c r="AB51" s="23" t="n">
        <x:v>0.25</x:v>
      </x:c>
      <x:c r="AC51" s="23" t="n">
        <x:v>0</x:v>
      </x:c>
      <x:c r="AD51" s="23" t="n">
        <x:v>0</x:v>
      </x:c>
      <x:c r="AE51" s="23" t="n">
        <x:v>0</x:v>
      </x:c>
      <x:c r="AF51" s="23" t="n">
        <x:v>0</x:v>
      </x:c>
      <x:c r="AG51" s="2" t="str">
        <x:f>IF(AA51="RETIRED","Excluded",IF(AA51="ACTIVE",IF(AND(I51="Complete",J51="Reviewed",M51="Ready",P51="Passed",X51=1),"Accepted","Pending"),IF(AND(I51="Complete",J51="Reviewed"),"Done","Pending")))</x:f>
        <x:v>Pending</x:v>
      </x:c>
      <x:c r="AH51" s="2" t="str">
        <x:f>IF(AA51="RETIRED","Excluded",IF(OR(AG51="Accepted",AG51="Done"),"Done",IF(ISNUMBER(W51),IF(W51&lt;$N$3,"Overdue","Planned"),"Verify baseline")))</x:f>
        <x:v>Planned</x:v>
      </x:c>
    </x:row>
    <x:row r="52" ht="48" customHeight="1">
      <x:c r="A52" s="17" t="str">
        <x:v>UC-36 · Create location movement</x:v>
      </x:c>
      <x:c r="B52" s="2" t="str">
        <x:v>FE-04</x:v>
      </x:c>
      <x:c r="C52" s="17" t="str">
        <x:v>hieudt · Inventory, relocation and warehouse transfer</x:v>
      </x:c>
      <x:c r="D52" s="2" t="str">
        <x:v>Use case</x:v>
      </x:c>
      <x:c r="E52" s="17" t="str">
        <x:v>Warehouse Staff selects compatible source/destination locations in the same warehouse and checks quantity, reservations and stocktake locks; no Owner approval or inter-warehouse TR.</x:v>
      </x:c>
      <x:c r="F52" s="2" t="str">
        <x:v>Medium</x:v>
      </x:c>
      <x:c r="G52" s="13" t="n">
        <x:f>SUM(AB52:AF52)</x:f>
        <x:v>1</x:v>
      </x:c>
      <x:c r="H52" s="2" t="str">
        <x:v>Iteration 1</x:v>
      </x:c>
      <x:c r="I52" s="21" t="str">
        <x:v>To Do</x:v>
      </x:c>
      <x:c r="J52" s="21" t="str">
        <x:v>Review due</x:v>
      </x:c>
      <x:c r="K52" s="2" t="str">
        <x:v>hieudt</x:v>
      </x:c>
      <x:c r="L52" s="4" t="d">
        <x:v>2026-11-27T00:00:00.000Z</x:v>
      </x:c>
      <x:c r="M52" s="21" t="str">
        <x:v>To Do</x:v>
      </x:c>
      <x:c r="N52" s="2" t="str">
        <x:v>bachhm</x:v>
      </x:c>
      <x:c r="O52" s="4" t="d">
        <x:v>2026-11-27T00:00:00.000Z</x:v>
      </x:c>
      <x:c r="P52" s="21" t="str">
        <x:v>Not Run</x:v>
      </x:c>
      <x:c r="Q52" s="2" t="str">
        <x:v>bachhm</x:v>
      </x:c>
      <x:c r="R52" s="4" t="d">
        <x:v>2026-11-27T00:00:00.000Z</x:v>
      </x:c>
      <x:c r="S52" s="17" t="str">
        <x:v>Complete = FE + API + business rules + authorization + unit tests + peer review + passed integration + synchronized documentation.</x:v>
      </x:c>
      <x:c r="T52" s="2" t="str">
        <x:v>UC-36</x:v>
      </x:c>
      <x:c r="U52" s="2" t="str">
        <x:v>hieudt</x:v>
      </x:c>
      <x:c r="V52" s="4" t="d">
        <x:v>2026-10-26T00:00:00.000Z</x:v>
      </x:c>
      <x:c r="W52" s="4" t="d">
        <x:v>2026-11-06T00:00:00.000Z</x:v>
      </x:c>
      <x:c r="X52" s="22" t="n">
        <x:v>0</x:v>
      </x:c>
      <x:c r="Y52" s="23"/>
      <x:c r="Z52" s="17" t="str">
        <x:v>Shared stock/UOM/permission contracts</x:v>
      </x:c>
      <x:c r="AA52" s="2" t="str">
        <x:v>ACTIVE</x:v>
      </x:c>
      <x:c r="AB52" s="23" t="n">
        <x:v>0.75</x:v>
      </x:c>
      <x:c r="AC52" s="23" t="n">
        <x:v>0.25</x:v>
      </x:c>
      <x:c r="AD52" s="23" t="n">
        <x:v>0</x:v>
      </x:c>
      <x:c r="AE52" s="23" t="n">
        <x:v>0</x:v>
      </x:c>
      <x:c r="AF52" s="23" t="n">
        <x:v>0</x:v>
      </x:c>
      <x:c r="AG52" s="2" t="str">
        <x:f>IF(AA52="RETIRED","Excluded",IF(AA52="ACTIVE",IF(AND(I52="Complete",J52="Reviewed",M52="Ready",P52="Passed",X52=1),"Accepted","Pending"),IF(AND(I52="Complete",J52="Reviewed"),"Done","Pending")))</x:f>
        <x:v>Pending</x:v>
      </x:c>
      <x:c r="AH52" s="2" t="str">
        <x:f>IF(AA52="RETIRED","Excluded",IF(OR(AG52="Accepted",AG52="Done"),"Done",IF(ISNUMBER(W52),IF(W52&lt;$N$3,"Overdue","Planned"),"Verify baseline")))</x:f>
        <x:v>Planned</x:v>
      </x:c>
    </x:row>
    <x:row r="53" ht="48" customHeight="1">
      <x:c r="A53" s="17" t="str">
        <x:v>UC-37 · Confirm actual location movement</x:v>
      </x:c>
      <x:c r="B53" s="2" t="str">
        <x:v>FE-04</x:v>
      </x:c>
      <x:c r="C53" s="17" t="str">
        <x:v>hieudt · Inventory, relocation and warehouse transfer</x:v>
      </x:c>
      <x:c r="D53" s="2" t="str">
        <x:v>Use case</x:v>
      </x:c>
      <x:c r="E53" s="17" t="str">
        <x:v>Confirm actual relocation atomically: source minus q, destination plus q, same lot/quality/owner and total. Carry reservations and block locked locations.</x:v>
      </x:c>
      <x:c r="F53" s="2" t="str">
        <x:v>Complex</x:v>
      </x:c>
      <x:c r="G53" s="13" t="n">
        <x:f>SUM(AB53:AF53)</x:f>
        <x:v>1.5</x:v>
      </x:c>
      <x:c r="H53" s="2" t="str">
        <x:v>Iteration 1</x:v>
      </x:c>
      <x:c r="I53" s="21" t="str">
        <x:v>To Do</x:v>
      </x:c>
      <x:c r="J53" s="21" t="str">
        <x:v>Review due</x:v>
      </x:c>
      <x:c r="K53" s="2" t="str">
        <x:v>hieudt</x:v>
      </x:c>
      <x:c r="L53" s="4" t="d">
        <x:v>2026-11-27T00:00:00.000Z</x:v>
      </x:c>
      <x:c r="M53" s="21" t="str">
        <x:v>To Do</x:v>
      </x:c>
      <x:c r="N53" s="2" t="str">
        <x:v>bachhm</x:v>
      </x:c>
      <x:c r="O53" s="4" t="d">
        <x:v>2026-11-27T00:00:00.000Z</x:v>
      </x:c>
      <x:c r="P53" s="21" t="str">
        <x:v>Not Run</x:v>
      </x:c>
      <x:c r="Q53" s="2" t="str">
        <x:v>bachhm</x:v>
      </x:c>
      <x:c r="R53" s="4" t="d">
        <x:v>2026-11-27T00:00:00.000Z</x:v>
      </x:c>
      <x:c r="S53" s="17" t="str">
        <x:v>Complete = FE + API + business rules + authorization + unit tests + peer review + passed integration + synchronized documentation.</x:v>
      </x:c>
      <x:c r="T53" s="2" t="str">
        <x:v>UC-37</x:v>
      </x:c>
      <x:c r="U53" s="2" t="str">
        <x:v>hieudt</x:v>
      </x:c>
      <x:c r="V53" s="4" t="d">
        <x:v>2026-11-02T00:00:00.000Z</x:v>
      </x:c>
      <x:c r="W53" s="4" t="d">
        <x:v>2026-11-06T00:00:00.000Z</x:v>
      </x:c>
      <x:c r="X53" s="22" t="n">
        <x:v>0</x:v>
      </x:c>
      <x:c r="Y53" s="23"/>
      <x:c r="Z53" s="17" t="str">
        <x:v>Shared stock/UOM/permission contracts</x:v>
      </x:c>
      <x:c r="AA53" s="2" t="str">
        <x:v>ACTIVE</x:v>
      </x:c>
      <x:c r="AB53" s="23" t="n">
        <x:v>0</x:v>
      </x:c>
      <x:c r="AC53" s="23" t="n">
        <x:v>1.5</x:v>
      </x:c>
      <x:c r="AD53" s="23" t="n">
        <x:v>0</x:v>
      </x:c>
      <x:c r="AE53" s="23" t="n">
        <x:v>0</x:v>
      </x:c>
      <x:c r="AF53" s="23" t="n">
        <x:v>0</x:v>
      </x:c>
      <x:c r="AG53" s="2" t="str">
        <x:f>IF(AA53="RETIRED","Excluded",IF(AA53="ACTIVE",IF(AND(I53="Complete",J53="Reviewed",M53="Ready",P53="Passed",X53=1),"Accepted","Pending"),IF(AND(I53="Complete",J53="Reviewed"),"Done","Pending")))</x:f>
        <x:v>Pending</x:v>
      </x:c>
      <x:c r="AH53" s="2" t="str">
        <x:f>IF(AA53="RETIRED","Excluded",IF(OR(AG53="Accepted",AG53="Done"),"Done",IF(ISNUMBER(W53),IF(W53&lt;$N$3,"Overdue","Planned"),"Verify baseline")))</x:f>
        <x:v>Planned</x:v>
      </x:c>
    </x:row>
    <x:row r="54" ht="48" customHeight="1">
      <x:c r="A54" s="17" t="str">
        <x:v>UC-38 · View warehouse transfer list</x:v>
      </x:c>
      <x:c r="B54" s="2" t="str">
        <x:v>FE-05</x:v>
      </x:c>
      <x:c r="C54" s="17" t="str">
        <x:v>hieudt · Inventory, relocation and warehouse transfer</x:v>
      </x:c>
      <x:c r="D54" s="2" t="str">
        <x:v>Use case</x:v>
      </x:c>
      <x:c r="E54" s="17" t="str">
        <x:v>View transfers between the configured warehouses; D4 confirms inter-warehouse movements. Sales sees progress related to its issue requests.</x:v>
      </x:c>
      <x:c r="F54" s="2" t="str">
        <x:v>Simple</x:v>
      </x:c>
      <x:c r="G54" s="13" t="n">
        <x:f>SUM(AB54:AF54)</x:f>
        <x:v>0.25</x:v>
      </x:c>
      <x:c r="H54" s="2" t="str">
        <x:v>Iteration 1</x:v>
      </x:c>
      <x:c r="I54" s="21" t="str">
        <x:v>To Do</x:v>
      </x:c>
      <x:c r="J54" s="21" t="str">
        <x:v>Review due</x:v>
      </x:c>
      <x:c r="K54" s="2" t="str">
        <x:v>hieudt</x:v>
      </x:c>
      <x:c r="L54" s="4" t="d">
        <x:v>2026-11-27T00:00:00.000Z</x:v>
      </x:c>
      <x:c r="M54" s="21" t="str">
        <x:v>To Do</x:v>
      </x:c>
      <x:c r="N54" s="2" t="str">
        <x:v>bachhm</x:v>
      </x:c>
      <x:c r="O54" s="4" t="d">
        <x:v>2026-11-27T00:00:00.000Z</x:v>
      </x:c>
      <x:c r="P54" s="21" t="str">
        <x:v>Not Run</x:v>
      </x:c>
      <x:c r="Q54" s="2" t="str">
        <x:v>bachhm</x:v>
      </x:c>
      <x:c r="R54" s="4" t="d">
        <x:v>2026-11-27T00:00:00.000Z</x:v>
      </x:c>
      <x:c r="S54" s="17" t="str">
        <x:v>Complete = FE + API + business rules + authorization + unit tests + peer review + passed integration + synchronized documentation.</x:v>
      </x:c>
      <x:c r="T54" s="2" t="str">
        <x:v>UC-38</x:v>
      </x:c>
      <x:c r="U54" s="2" t="str">
        <x:v>hieudt</x:v>
      </x:c>
      <x:c r="V54" s="4" t="d">
        <x:v>2026-11-02T00:00:00.000Z</x:v>
      </x:c>
      <x:c r="W54" s="4" t="d">
        <x:v>2026-11-06T00:00:00.000Z</x:v>
      </x:c>
      <x:c r="X54" s="22" t="n">
        <x:v>0</x:v>
      </x:c>
      <x:c r="Y54" s="23"/>
      <x:c r="Z54" s="17" t="str">
        <x:v>Shared stock/UOM/permission contracts</x:v>
      </x:c>
      <x:c r="AA54" s="2" t="str">
        <x:v>ACTIVE</x:v>
      </x:c>
      <x:c r="AB54" s="23" t="n">
        <x:v>0</x:v>
      </x:c>
      <x:c r="AC54" s="23" t="n">
        <x:v>0.25</x:v>
      </x:c>
      <x:c r="AD54" s="23" t="n">
        <x:v>0</x:v>
      </x:c>
      <x:c r="AE54" s="23" t="n">
        <x:v>0</x:v>
      </x:c>
      <x:c r="AF54" s="23" t="n">
        <x:v>0</x:v>
      </x:c>
      <x:c r="AG54" s="2" t="str">
        <x:f>IF(AA54="RETIRED","Excluded",IF(AA54="ACTIVE",IF(AND(I54="Complete",J54="Reviewed",M54="Ready",P54="Passed",X54=1),"Accepted","Pending"),IF(AND(I54="Complete",J54="Reviewed"),"Done","Pending")))</x:f>
        <x:v>Pending</x:v>
      </x:c>
      <x:c r="AH54" s="2" t="str">
        <x:f>IF(AA54="RETIRED","Excluded",IF(OR(AG54="Accepted",AG54="Done"),"Done",IF(ISNUMBER(W54),IF(W54&lt;$N$3,"Overdue","Planned"),"Verify baseline")))</x:f>
        <x:v>Planned</x:v>
      </x:c>
    </x:row>
    <x:row r="55" ht="48" customHeight="1">
      <x:c r="A55" s="17" t="str">
        <x:v>UC-39 · View warehouse transfer details</x:v>
      </x:c>
      <x:c r="B55" s="2" t="str">
        <x:v>FE-05</x:v>
      </x:c>
      <x:c r="C55" s="17" t="str">
        <x:v>hieudt · Inventory, relocation and warehouse transfer</x:v>
      </x:c>
      <x:c r="D55" s="2" t="str">
        <x:v>Use case</x:v>
      </x:c>
      <x:c r="E55" s="17" t="str">
        <x:v>Show requested/approved, dispatched, received by quality, in-transit and unresolved quantities with separate dispatch and receipt documents.</x:v>
      </x:c>
      <x:c r="F55" s="2" t="str">
        <x:v>Simple</x:v>
      </x:c>
      <x:c r="G55" s="13" t="n">
        <x:f>SUM(AB55:AF55)</x:f>
        <x:v>0.25</x:v>
      </x:c>
      <x:c r="H55" s="2" t="str">
        <x:v>Iteration 1</x:v>
      </x:c>
      <x:c r="I55" s="21" t="str">
        <x:v>To Do</x:v>
      </x:c>
      <x:c r="J55" s="21" t="str">
        <x:v>Review due</x:v>
      </x:c>
      <x:c r="K55" s="2" t="str">
        <x:v>hieudt</x:v>
      </x:c>
      <x:c r="L55" s="4" t="d">
        <x:v>2026-11-27T00:00:00.000Z</x:v>
      </x:c>
      <x:c r="M55" s="21" t="str">
        <x:v>To Do</x:v>
      </x:c>
      <x:c r="N55" s="2" t="str">
        <x:v>bachhm</x:v>
      </x:c>
      <x:c r="O55" s="4" t="d">
        <x:v>2026-11-27T00:00:00.000Z</x:v>
      </x:c>
      <x:c r="P55" s="21" t="str">
        <x:v>Not Run</x:v>
      </x:c>
      <x:c r="Q55" s="2" t="str">
        <x:v>bachhm</x:v>
      </x:c>
      <x:c r="R55" s="4" t="d">
        <x:v>2026-11-27T00:00:00.000Z</x:v>
      </x:c>
      <x:c r="S55" s="17" t="str">
        <x:v>Complete = FE + API + business rules + authorization + unit tests + peer review + passed integration + synchronized documentation.</x:v>
      </x:c>
      <x:c r="T55" s="2" t="str">
        <x:v>UC-39</x:v>
      </x:c>
      <x:c r="U55" s="2" t="str">
        <x:v>hieudt</x:v>
      </x:c>
      <x:c r="V55" s="4" t="d">
        <x:v>2026-11-02T00:00:00.000Z</x:v>
      </x:c>
      <x:c r="W55" s="4" t="d">
        <x:v>2026-11-06T00:00:00.000Z</x:v>
      </x:c>
      <x:c r="X55" s="22" t="n">
        <x:v>0</x:v>
      </x:c>
      <x:c r="Y55" s="23"/>
      <x:c r="Z55" s="17" t="str">
        <x:v>Shared stock/UOM/permission contracts</x:v>
      </x:c>
      <x:c r="AA55" s="2" t="str">
        <x:v>ACTIVE</x:v>
      </x:c>
      <x:c r="AB55" s="23" t="n">
        <x:v>0</x:v>
      </x:c>
      <x:c r="AC55" s="23" t="n">
        <x:v>0.25</x:v>
      </x:c>
      <x:c r="AD55" s="23" t="n">
        <x:v>0</x:v>
      </x:c>
      <x:c r="AE55" s="23" t="n">
        <x:v>0</x:v>
      </x:c>
      <x:c r="AF55" s="23" t="n">
        <x:v>0</x:v>
      </x:c>
      <x:c r="AG55" s="2" t="str">
        <x:f>IF(AA55="RETIRED","Excluded",IF(AA55="ACTIVE",IF(AND(I55="Complete",J55="Reviewed",M55="Ready",P55="Passed",X55=1),"Accepted","Pending"),IF(AND(I55="Complete",J55="Reviewed"),"Done","Pending")))</x:f>
        <x:v>Pending</x:v>
      </x:c>
      <x:c r="AH55" s="2" t="str">
        <x:f>IF(AA55="RETIRED","Excluded",IF(OR(AG55="Accepted",AG55="Done"),"Done",IF(ISNUMBER(W55),IF(W55&lt;$N$3,"Overdue","Planned"),"Verify baseline")))</x:f>
        <x:v>Planned</x:v>
      </x:c>
    </x:row>
    <x:row r="56" ht="48" customHeight="1">
      <x:c r="A56" s="17" t="str">
        <x:v>UC-40 · Create Transfer Request</x:v>
      </x:c>
      <x:c r="B56" s="2" t="str">
        <x:v>FE-05</x:v>
      </x:c>
      <x:c r="C56" s="17" t="str">
        <x:v>hieudt · Inventory, relocation and warehouse transfer</x:v>
      </x:c>
      <x:c r="D56" s="2" t="str">
        <x:v>Use case</x:v>
      </x:c>
      <x:c r="E56" s="17" t="str">
        <x:v>Warehouse Staff requests physical movement between distinct warehouses after considering direct customer dispatch or other compatible sources. Same-warehouse relocation uses UC-36/37.</x:v>
      </x:c>
      <x:c r="F56" s="2" t="str">
        <x:v>Medium</x:v>
      </x:c>
      <x:c r="G56" s="13" t="n">
        <x:f>SUM(AB56:AF56)</x:f>
        <x:v>1</x:v>
      </x:c>
      <x:c r="H56" s="2" t="str">
        <x:v>Iteration 1</x:v>
      </x:c>
      <x:c r="I56" s="21" t="str">
        <x:v>To Do</x:v>
      </x:c>
      <x:c r="J56" s="21" t="str">
        <x:v>Review due</x:v>
      </x:c>
      <x:c r="K56" s="2" t="str">
        <x:v>hieudt</x:v>
      </x:c>
      <x:c r="L56" s="4" t="d">
        <x:v>2026-11-27T00:00:00.000Z</x:v>
      </x:c>
      <x:c r="M56" s="21" t="str">
        <x:v>To Do</x:v>
      </x:c>
      <x:c r="N56" s="2" t="str">
        <x:v>bachhm</x:v>
      </x:c>
      <x:c r="O56" s="4" t="d">
        <x:v>2026-11-27T00:00:00.000Z</x:v>
      </x:c>
      <x:c r="P56" s="21" t="str">
        <x:v>Not Run</x:v>
      </x:c>
      <x:c r="Q56" s="2" t="str">
        <x:v>bachhm</x:v>
      </x:c>
      <x:c r="R56" s="4" t="d">
        <x:v>2026-11-27T00:00:00.000Z</x:v>
      </x:c>
      <x:c r="S56" s="17" t="str">
        <x:v>Complete = FE + API + business rules + authorization + unit tests + peer review + passed integration + synchronized documentation.</x:v>
      </x:c>
      <x:c r="T56" s="2" t="str">
        <x:v>UC-40</x:v>
      </x:c>
      <x:c r="U56" s="2" t="str">
        <x:v>hieudt</x:v>
      </x:c>
      <x:c r="V56" s="4" t="d">
        <x:v>2026-11-02T00:00:00.000Z</x:v>
      </x:c>
      <x:c r="W56" s="4" t="d">
        <x:v>2026-11-06T00:00:00.000Z</x:v>
      </x:c>
      <x:c r="X56" s="22" t="n">
        <x:v>0</x:v>
      </x:c>
      <x:c r="Y56" s="23"/>
      <x:c r="Z56" s="17" t="str">
        <x:v>Shared stock/UOM/permission contracts</x:v>
      </x:c>
      <x:c r="AA56" s="2" t="str">
        <x:v>ACTIVE</x:v>
      </x:c>
      <x:c r="AB56" s="23" t="n">
        <x:v>0</x:v>
      </x:c>
      <x:c r="AC56" s="23" t="n">
        <x:v>1</x:v>
      </x:c>
      <x:c r="AD56" s="23" t="n">
        <x:v>0</x:v>
      </x:c>
      <x:c r="AE56" s="23" t="n">
        <x:v>0</x:v>
      </x:c>
      <x:c r="AF56" s="23" t="n">
        <x:v>0</x:v>
      </x:c>
      <x:c r="AG56" s="2" t="str">
        <x:f>IF(AA56="RETIRED","Excluded",IF(AA56="ACTIVE",IF(AND(I56="Complete",J56="Reviewed",M56="Ready",P56="Passed",X56=1),"Accepted","Pending"),IF(AND(I56="Complete",J56="Reviewed"),"Done","Pending")))</x:f>
        <x:v>Pending</x:v>
      </x:c>
      <x:c r="AH56" s="2" t="str">
        <x:f>IF(AA56="RETIRED","Excluded",IF(OR(AG56="Accepted",AG56="Done"),"Done",IF(ISNUMBER(W56),IF(W56&lt;$N$3,"Overdue","Planned"),"Verify baseline")))</x:f>
        <x:v>Planned</x:v>
      </x:c>
    </x:row>
    <x:row r="57" ht="48" customHeight="1">
      <x:c r="A57" s="17" t="str">
        <x:v>UC-41 · Review Transfer Request</x:v>
      </x:c>
      <x:c r="B57" s="2" t="str">
        <x:v>FE-05</x:v>
      </x:c>
      <x:c r="C57" s="17" t="str">
        <x:v>hieudt · Inventory, relocation and warehouse transfer</x:v>
      </x:c>
      <x:c r="D57" s="2" t="str">
        <x:v>Use case</x:v>
      </x:c>
      <x:c r="E57" s="17" t="str">
        <x:v>Store Owner approves/rejects/returns the TR version; requester differs from approver. Approved TR authorizes execution and controlled source reservation; no extra inter-warehouse TO approval.</x:v>
      </x:c>
      <x:c r="F57" s="2" t="str">
        <x:v>Medium</x:v>
      </x:c>
      <x:c r="G57" s="13" t="n">
        <x:f>SUM(AB57:AF57)</x:f>
        <x:v>1</x:v>
      </x:c>
      <x:c r="H57" s="2" t="str">
        <x:v>Iteration 2</x:v>
      </x:c>
      <x:c r="I57" s="21" t="str">
        <x:v>To Do</x:v>
      </x:c>
      <x:c r="J57" s="21" t="str">
        <x:v>Review due</x:v>
      </x:c>
      <x:c r="K57" s="2" t="str">
        <x:v>hieudt</x:v>
      </x:c>
      <x:c r="L57" s="4" t="d">
        <x:v>2026-11-27T00:00:00.000Z</x:v>
      </x:c>
      <x:c r="M57" s="21" t="str">
        <x:v>To Do</x:v>
      </x:c>
      <x:c r="N57" s="2" t="str">
        <x:v>bachhm</x:v>
      </x:c>
      <x:c r="O57" s="4" t="d">
        <x:v>2026-11-27T00:00:00.000Z</x:v>
      </x:c>
      <x:c r="P57" s="21" t="str">
        <x:v>Not Run</x:v>
      </x:c>
      <x:c r="Q57" s="2" t="str">
        <x:v>bachhm</x:v>
      </x:c>
      <x:c r="R57" s="4" t="d">
        <x:v>2026-11-27T00:00:00.000Z</x:v>
      </x:c>
      <x:c r="S57" s="17" t="str">
        <x:v>Complete = FE + API + business rules + authorization + unit tests + peer review + passed integration + synchronized documentation.</x:v>
      </x:c>
      <x:c r="T57" s="2" t="str">
        <x:v>UC-41</x:v>
      </x:c>
      <x:c r="U57" s="2" t="str">
        <x:v>hieudt</x:v>
      </x:c>
      <x:c r="V57" s="4" t="d">
        <x:v>2026-11-02T00:00:00.000Z</x:v>
      </x:c>
      <x:c r="W57" s="4" t="d">
        <x:v>2026-11-13T00:00:00.000Z</x:v>
      </x:c>
      <x:c r="X57" s="22" t="n">
        <x:v>0</x:v>
      </x:c>
      <x:c r="Y57" s="23"/>
      <x:c r="Z57" s="17" t="str">
        <x:v>Shared stock/UOM/permission contracts</x:v>
      </x:c>
      <x:c r="AA57" s="2" t="str">
        <x:v>ACTIVE</x:v>
      </x:c>
      <x:c r="AB57" s="23" t="n">
        <x:v>0</x:v>
      </x:c>
      <x:c r="AC57" s="23" t="n">
        <x:v>0.25</x:v>
      </x:c>
      <x:c r="AD57" s="23" t="n">
        <x:v>0.75</x:v>
      </x:c>
      <x:c r="AE57" s="23" t="n">
        <x:v>0</x:v>
      </x:c>
      <x:c r="AF57" s="23" t="n">
        <x:v>0</x:v>
      </x:c>
      <x:c r="AG57" s="2" t="str">
        <x:f>IF(AA57="RETIRED","Excluded",IF(AA57="ACTIVE",IF(AND(I57="Complete",J57="Reviewed",M57="Ready",P57="Passed",X57=1),"Accepted","Pending"),IF(AND(I57="Complete",J57="Reviewed"),"Done","Pending")))</x:f>
        <x:v>Pending</x:v>
      </x:c>
      <x:c r="AH57" s="2" t="str">
        <x:f>IF(AA57="RETIRED","Excluded",IF(OR(AG57="Accepted",AG57="Done"),"Done",IF(ISNUMBER(W57),IF(W57&lt;$N$3,"Overdue","Planned"),"Verify baseline")))</x:f>
        <x:v>Planned</x:v>
      </x:c>
    </x:row>
    <x:row r="58" ht="43" customHeight="1">
      <x:c r="A58" s="17" t="str">
        <x:v>UC-42 · Create Warehouse Transfer Order</x:v>
      </x:c>
      <x:c r="B58" s="2" t="str">
        <x:v>FE-05</x:v>
      </x:c>
      <x:c r="C58" s="17" t="str">
        <x:v>Retired history</x:v>
      </x:c>
      <x:c r="D58" s="2" t="str">
        <x:v>Use case</x:v>
      </x:c>
      <x:c r="E58" s="17" t="str">
        <x:v>Historical identifier retained; unavailable in the selected To-be. Approved TR executes through UC-43/104 without a redundant transfer-order layer.</x:v>
      </x:c>
      <x:c r="F58" s="2" t="str">
        <x:v>Simple</x:v>
      </x:c>
      <x:c r="G58" s="13" t="n">
        <x:f>SUM(AB58:AF58)</x:f>
        <x:v>0</x:v>
      </x:c>
      <x:c r="H58" s="2" t="str">
        <x:v>Excluded</x:v>
      </x:c>
      <x:c r="I58" s="21" t="str">
        <x:v>Retired</x:v>
      </x:c>
      <x:c r="J58" s="21" t="str">
        <x:v>Retired</x:v>
      </x:c>
      <x:c r="K58" s="2"/>
      <x:c r="L58" s="4"/>
      <x:c r="M58" s="21" t="str">
        <x:v>N/A</x:v>
      </x:c>
      <x:c r="N58" s="2"/>
      <x:c r="O58" s="4"/>
      <x:c r="P58" s="21" t="str">
        <x:v>N/A</x:v>
      </x:c>
      <x:c r="Q58" s="2"/>
      <x:c r="R58" s="4"/>
      <x:c r="S58" s="17" t="str">
        <x:v>Historical ID only; no active route, permission, screen action or delivery effort.</x:v>
      </x:c>
      <x:c r="T58" s="2" t="str">
        <x:v>UC-42</x:v>
      </x:c>
      <x:c r="U58" s="2"/>
      <x:c r="V58" s="4"/>
      <x:c r="W58" s="4" t="d">
        <x:v>2026-11-13T00:00:00.000Z</x:v>
      </x:c>
      <x:c r="X58" s="22"/>
      <x:c r="Y58" s="23"/>
      <x:c r="Z58" s="17" t="str">
        <x:v>Shared stock/UOM/permission contracts</x:v>
      </x:c>
      <x:c r="AA58" s="2" t="str">
        <x:v>RETIRED</x:v>
      </x:c>
      <x:c r="AB58" s="23" t="n">
        <x:v>0</x:v>
      </x:c>
      <x:c r="AC58" s="23" t="n">
        <x:v>0</x:v>
      </x:c>
      <x:c r="AD58" s="23" t="n">
        <x:v>0</x:v>
      </x:c>
      <x:c r="AE58" s="23" t="n">
        <x:v>0</x:v>
      </x:c>
      <x:c r="AF58" s="23" t="n">
        <x:v>0</x:v>
      </x:c>
      <x:c r="AG58" s="2" t="str">
        <x:f>IF(AA58="RETIRED","Excluded",IF(AA58="ACTIVE",IF(AND(I58="Complete",J58="Reviewed",M58="Ready",P58="Passed",X58=1),"Accepted","Pending"),IF(AND(I58="Complete",J58="Reviewed"),"Done","Pending")))</x:f>
        <x:v>Excluded</x:v>
      </x:c>
      <x:c r="AH58" s="2" t="str">
        <x:f>IF(AA58="RETIRED","Excluded",IF(OR(AG58="Accepted",AG58="Done"),"Done",IF(ISNUMBER(W58),IF(W58&lt;$N$3,"Overdue","Planned"),"Verify baseline")))</x:f>
        <x:v>Excluded</x:v>
      </x:c>
    </x:row>
    <x:row r="59" ht="48" customHeight="1">
      <x:c r="A59" s="17" t="str">
        <x:v>UC-43 · Record Transfer Dispatch</x:v>
      </x:c>
      <x:c r="B59" s="2" t="str">
        <x:v>FE-05</x:v>
      </x:c>
      <x:c r="C59" s="17" t="str">
        <x:v>hieudt · Inventory, relocation and warehouse transfer</x:v>
      </x:c>
      <x:c r="D59" s="2" t="str">
        <x:v>Use case</x:v>
      </x:c>
      <x:c r="E59" s="17" t="str">
        <x:v>Warehouse drafts TD from approved TR before picking; confirms actual picking TO when staging applies, then posts TD/HO only at handover. No second GI or Owner task approval.</x:v>
      </x:c>
      <x:c r="F59" s="2" t="str">
        <x:v>Complex</x:v>
      </x:c>
      <x:c r="G59" s="13" t="n">
        <x:f>SUM(AB59:AF59)</x:f>
        <x:v>1.5</x:v>
      </x:c>
      <x:c r="H59" s="2" t="str">
        <x:v>Iteration 2</x:v>
      </x:c>
      <x:c r="I59" s="21" t="str">
        <x:v>To Do</x:v>
      </x:c>
      <x:c r="J59" s="21" t="str">
        <x:v>Review due</x:v>
      </x:c>
      <x:c r="K59" s="2" t="str">
        <x:v>hieudt</x:v>
      </x:c>
      <x:c r="L59" s="4" t="d">
        <x:v>2026-11-27T00:00:00.000Z</x:v>
      </x:c>
      <x:c r="M59" s="21" t="str">
        <x:v>To Do</x:v>
      </x:c>
      <x:c r="N59" s="2" t="str">
        <x:v>bachhm</x:v>
      </x:c>
      <x:c r="O59" s="4" t="d">
        <x:v>2026-11-27T00:00:00.000Z</x:v>
      </x:c>
      <x:c r="P59" s="21" t="str">
        <x:v>Not Run</x:v>
      </x:c>
      <x:c r="Q59" s="2" t="str">
        <x:v>bachhm</x:v>
      </x:c>
      <x:c r="R59" s="4" t="d">
        <x:v>2026-11-27T00:00:00.000Z</x:v>
      </x:c>
      <x:c r="S59" s="17" t="str">
        <x:v>Complete = FE + API + business rules + authorization + unit tests + peer review + passed integration + synchronized documentation.</x:v>
      </x:c>
      <x:c r="T59" s="2" t="str">
        <x:v>UC-43</x:v>
      </x:c>
      <x:c r="U59" s="2" t="str">
        <x:v>hieudt</x:v>
      </x:c>
      <x:c r="V59" s="4" t="d">
        <x:v>2026-11-09T00:00:00.000Z</x:v>
      </x:c>
      <x:c r="W59" s="4" t="d">
        <x:v>2026-11-13T00:00:00.000Z</x:v>
      </x:c>
      <x:c r="X59" s="22" t="n">
        <x:v>0</x:v>
      </x:c>
      <x:c r="Y59" s="23"/>
      <x:c r="Z59" s="17" t="str">
        <x:v>Shared stock/UOM/permission contracts</x:v>
      </x:c>
      <x:c r="AA59" s="2" t="str">
        <x:v>ACTIVE</x:v>
      </x:c>
      <x:c r="AB59" s="23" t="n">
        <x:v>0</x:v>
      </x:c>
      <x:c r="AC59" s="23" t="n">
        <x:v>0</x:v>
      </x:c>
      <x:c r="AD59" s="23" t="n">
        <x:v>1.5</x:v>
      </x:c>
      <x:c r="AE59" s="23" t="n">
        <x:v>0</x:v>
      </x:c>
      <x:c r="AF59" s="23" t="n">
        <x:v>0</x:v>
      </x:c>
      <x:c r="AG59" s="2" t="str">
        <x:f>IF(AA59="RETIRED","Excluded",IF(AA59="ACTIVE",IF(AND(I59="Complete",J59="Reviewed",M59="Ready",P59="Passed",X59=1),"Accepted","Pending"),IF(AND(I59="Complete",J59="Reviewed"),"Done","Pending")))</x:f>
        <x:v>Pending</x:v>
      </x:c>
      <x:c r="AH59" s="2" t="str">
        <x:f>IF(AA59="RETIRED","Excluded",IF(OR(AG59="Accepted",AG59="Done"),"Done",IF(ISNUMBER(W59),IF(W59&lt;$N$3,"Overdue","Planned"),"Verify baseline")))</x:f>
        <x:v>Planned</x:v>
      </x:c>
    </x:row>
    <x:row r="60" ht="48" customHeight="1">
      <x:c r="A60" s="17" t="str">
        <x:v>UC-44 · Review Transfer Difference Resolution</x:v>
      </x:c>
      <x:c r="B60" s="2" t="str">
        <x:v>FE-05</x:v>
      </x:c>
      <x:c r="C60" s="17" t="str">
        <x:v>hieudt · Inventory, relocation and warehouse transfer</x:v>
      </x:c>
      <x:c r="D60" s="2" t="str">
        <x:v>Use case</x:v>
      </x:c>
      <x:c r="E60" s="17" t="str">
        <x:v>Store Owner reviews inter-warehouse discrepancies from UC-43/104. Resolve through linked documents without editing posted quantities; keep unmatched amounts open.</x:v>
      </x:c>
      <x:c r="F60" s="2" t="str">
        <x:v>Medium</x:v>
      </x:c>
      <x:c r="G60" s="13" t="n">
        <x:f>SUM(AB60:AF60)</x:f>
        <x:v>1</x:v>
      </x:c>
      <x:c r="H60" s="2" t="str">
        <x:v>Iteration 2</x:v>
      </x:c>
      <x:c r="I60" s="21" t="str">
        <x:v>To Do</x:v>
      </x:c>
      <x:c r="J60" s="21" t="str">
        <x:v>Review due</x:v>
      </x:c>
      <x:c r="K60" s="2" t="str">
        <x:v>hieudt</x:v>
      </x:c>
      <x:c r="L60" s="4" t="d">
        <x:v>2026-11-27T00:00:00.000Z</x:v>
      </x:c>
      <x:c r="M60" s="21" t="str">
        <x:v>To Do</x:v>
      </x:c>
      <x:c r="N60" s="2" t="str">
        <x:v>bachhm</x:v>
      </x:c>
      <x:c r="O60" s="4" t="d">
        <x:v>2026-11-27T00:00:00.000Z</x:v>
      </x:c>
      <x:c r="P60" s="21" t="str">
        <x:v>Not Run</x:v>
      </x:c>
      <x:c r="Q60" s="2" t="str">
        <x:v>bachhm</x:v>
      </x:c>
      <x:c r="R60" s="4" t="d">
        <x:v>2026-11-27T00:00:00.000Z</x:v>
      </x:c>
      <x:c r="S60" s="17" t="str">
        <x:v>Complete = FE + API + business rules + authorization + unit tests + peer review + passed integration + synchronized documentation.</x:v>
      </x:c>
      <x:c r="T60" s="2" t="str">
        <x:v>UC-44</x:v>
      </x:c>
      <x:c r="U60" s="2" t="str">
        <x:v>hieudt</x:v>
      </x:c>
      <x:c r="V60" s="4" t="d">
        <x:v>2026-11-09T00:00:00.000Z</x:v>
      </x:c>
      <x:c r="W60" s="4" t="d">
        <x:v>2026-11-13T00:00:00.000Z</x:v>
      </x:c>
      <x:c r="X60" s="22" t="n">
        <x:v>0</x:v>
      </x:c>
      <x:c r="Y60" s="23"/>
      <x:c r="Z60" s="17" t="str">
        <x:v>Shared stock/UOM/permission contracts</x:v>
      </x:c>
      <x:c r="AA60" s="2" t="str">
        <x:v>ACTIVE</x:v>
      </x:c>
      <x:c r="AB60" s="23" t="n">
        <x:v>0</x:v>
      </x:c>
      <x:c r="AC60" s="23" t="n">
        <x:v>0</x:v>
      </x:c>
      <x:c r="AD60" s="23" t="n">
        <x:v>1</x:v>
      </x:c>
      <x:c r="AE60" s="23" t="n">
        <x:v>0</x:v>
      </x:c>
      <x:c r="AF60" s="23" t="n">
        <x:v>0</x:v>
      </x:c>
      <x:c r="AG60" s="2" t="str">
        <x:f>IF(AA60="RETIRED","Excluded",IF(AA60="ACTIVE",IF(AND(I60="Complete",J60="Reviewed",M60="Ready",P60="Passed",X60=1),"Accepted","Pending"),IF(AND(I60="Complete",J60="Reviewed"),"Done","Pending")))</x:f>
        <x:v>Pending</x:v>
      </x:c>
      <x:c r="AH60" s="2" t="str">
        <x:f>IF(AA60="RETIRED","Excluded",IF(OR(AG60="Accepted",AG60="Done"),"Done",IF(ISNUMBER(W60),IF(W60&lt;$N$3,"Overdue","Planned"),"Verify baseline")))</x:f>
        <x:v>Planned</x:v>
      </x:c>
    </x:row>
    <x:row r="61" ht="43" customHeight="1">
      <x:c r="A61" s="17" t="str">
        <x:v>UC-45 · View Copied Sales Order List</x:v>
      </x:c>
      <x:c r="B61" s="2" t="str">
        <x:v>FE-06</x:v>
      </x:c>
      <x:c r="C61" s="17" t="str">
        <x:v>danghh · Customer, sales order and goods issue</x:v>
      </x:c>
      <x:c r="D61" s="2" t="str">
        <x:v>Use case</x:v>
      </x:c>
      <x:c r="E61" s="17" t="str">
        <x:v>Read scoped SO source, customer, issued/delivered/outstanding quantities and DELIVERED/COMPLETED progress.</x:v>
      </x:c>
      <x:c r="F61" s="2" t="str">
        <x:v>Simple</x:v>
      </x:c>
      <x:c r="G61" s="13" t="n">
        <x:f>SUM(AB61:AF61)</x:f>
        <x:v>0.25</x:v>
      </x:c>
      <x:c r="H61" s="2" t="str">
        <x:v>Iteration 1</x:v>
      </x:c>
      <x:c r="I61" s="21" t="str">
        <x:v>To Do</x:v>
      </x:c>
      <x:c r="J61" s="21" t="str">
        <x:v>Review due</x:v>
      </x:c>
      <x:c r="K61" s="2" t="str">
        <x:v>danghh</x:v>
      </x:c>
      <x:c r="L61" s="4" t="d">
        <x:v>2026-11-27T00:00:00.000Z</x:v>
      </x:c>
      <x:c r="M61" s="21" t="str">
        <x:v>To Do</x:v>
      </x:c>
      <x:c r="N61" s="2" t="str">
        <x:v>minhtd</x:v>
      </x:c>
      <x:c r="O61" s="4" t="d">
        <x:v>2026-11-27T00:00:00.000Z</x:v>
      </x:c>
      <x:c r="P61" s="21" t="str">
        <x:v>Not Run</x:v>
      </x:c>
      <x:c r="Q61" s="2" t="str">
        <x:v>minhtd</x:v>
      </x:c>
      <x:c r="R61" s="4" t="d">
        <x:v>2026-11-27T00:00:00.000Z</x:v>
      </x:c>
      <x:c r="S61" s="17" t="str">
        <x:v>Complete = FE + API + business rules + authorization + unit tests + peer review + passed integration + synchronized documentation.</x:v>
      </x:c>
      <x:c r="T61" s="2" t="str">
        <x:v>UC-45</x:v>
      </x:c>
      <x:c r="U61" s="2" t="str">
        <x:v>danghh</x:v>
      </x:c>
      <x:c r="V61" s="4" t="d">
        <x:v>2026-10-26T00:00:00.000Z</x:v>
      </x:c>
      <x:c r="W61" s="4" t="d">
        <x:v>2026-10-30T00:00:00.000Z</x:v>
      </x:c>
      <x:c r="X61" s="22" t="n">
        <x:v>0</x:v>
      </x:c>
      <x:c r="Y61" s="23"/>
      <x:c r="Z61" s="17" t="str">
        <x:v>CORE-01; shared contracts</x:v>
      </x:c>
      <x:c r="AA61" s="2" t="str">
        <x:v>ACTIVE</x:v>
      </x:c>
      <x:c r="AB61" s="23" t="n">
        <x:v>0.25</x:v>
      </x:c>
      <x:c r="AC61" s="23" t="n">
        <x:v>0</x:v>
      </x:c>
      <x:c r="AD61" s="23" t="n">
        <x:v>0</x:v>
      </x:c>
      <x:c r="AE61" s="23" t="n">
        <x:v>0</x:v>
      </x:c>
      <x:c r="AF61" s="23" t="n">
        <x:v>0</x:v>
      </x:c>
      <x:c r="AG61" s="2" t="str">
        <x:f>IF(AA61="RETIRED","Excluded",IF(AA61="ACTIVE",IF(AND(I61="Complete",J61="Reviewed",M61="Ready",P61="Passed",X61=1),"Accepted","Pending"),IF(AND(I61="Complete",J61="Reviewed"),"Done","Pending")))</x:f>
        <x:v>Pending</x:v>
      </x:c>
      <x:c r="AH61" s="2" t="str">
        <x:f>IF(AA61="RETIRED","Excluded",IF(OR(AG61="Accepted",AG61="Done"),"Done",IF(ISNUMBER(W61),IF(W61&lt;$N$3,"Overdue","Planned"),"Verify baseline")))</x:f>
        <x:v>Planned</x:v>
      </x:c>
    </x:row>
    <x:row r="62" ht="43" customHeight="1">
      <x:c r="A62" s="17" t="str">
        <x:v>UC-46 · View Copied Sales Order Details</x:v>
      </x:c>
      <x:c r="B62" s="2" t="str">
        <x:v>FE-06</x:v>
      </x:c>
      <x:c r="C62" s="17" t="str">
        <x:v>danghh · Customer, sales order and goods issue</x:v>
      </x:c>
      <x:c r="D62" s="2" t="str">
        <x:v>Use case</x:v>
      </x:c>
      <x:c r="E62" s="17" t="str">
        <x:v>Read copied source lines, WIR/OD/GI/POD/PAY-CFM history and cancellations; no pricing, invoice or payment calculation.</x:v>
      </x:c>
      <x:c r="F62" s="2" t="str">
        <x:v>Simple</x:v>
      </x:c>
      <x:c r="G62" s="13" t="n">
        <x:f>SUM(AB62:AF62)</x:f>
        <x:v>0.25</x:v>
      </x:c>
      <x:c r="H62" s="2" t="str">
        <x:v>Iteration 1</x:v>
      </x:c>
      <x:c r="I62" s="21" t="str">
        <x:v>To Do</x:v>
      </x:c>
      <x:c r="J62" s="21" t="str">
        <x:v>Review due</x:v>
      </x:c>
      <x:c r="K62" s="2" t="str">
        <x:v>danghh</x:v>
      </x:c>
      <x:c r="L62" s="4" t="d">
        <x:v>2026-11-27T00:00:00.000Z</x:v>
      </x:c>
      <x:c r="M62" s="21" t="str">
        <x:v>To Do</x:v>
      </x:c>
      <x:c r="N62" s="2" t="str">
        <x:v>minhtd</x:v>
      </x:c>
      <x:c r="O62" s="4" t="d">
        <x:v>2026-11-27T00:00:00.000Z</x:v>
      </x:c>
      <x:c r="P62" s="21" t="str">
        <x:v>Not Run</x:v>
      </x:c>
      <x:c r="Q62" s="2" t="str">
        <x:v>minhtd</x:v>
      </x:c>
      <x:c r="R62" s="4" t="d">
        <x:v>2026-11-27T00:00:00.000Z</x:v>
      </x:c>
      <x:c r="S62" s="17" t="str">
        <x:v>Complete = FE + API + business rules + authorization + unit tests + peer review + passed integration + synchronized documentation.</x:v>
      </x:c>
      <x:c r="T62" s="2" t="str">
        <x:v>UC-46</x:v>
      </x:c>
      <x:c r="U62" s="2" t="str">
        <x:v>danghh</x:v>
      </x:c>
      <x:c r="V62" s="4" t="d">
        <x:v>2026-10-26T00:00:00.000Z</x:v>
      </x:c>
      <x:c r="W62" s="4" t="d">
        <x:v>2026-10-30T00:00:00.000Z</x:v>
      </x:c>
      <x:c r="X62" s="22" t="n">
        <x:v>0</x:v>
      </x:c>
      <x:c r="Y62" s="23"/>
      <x:c r="Z62" s="17" t="str">
        <x:v>CORE-01; shared contracts</x:v>
      </x:c>
      <x:c r="AA62" s="2" t="str">
        <x:v>ACTIVE</x:v>
      </x:c>
      <x:c r="AB62" s="23" t="n">
        <x:v>0.25</x:v>
      </x:c>
      <x:c r="AC62" s="23" t="n">
        <x:v>0</x:v>
      </x:c>
      <x:c r="AD62" s="23" t="n">
        <x:v>0</x:v>
      </x:c>
      <x:c r="AE62" s="23" t="n">
        <x:v>0</x:v>
      </x:c>
      <x:c r="AF62" s="23" t="n">
        <x:v>0</x:v>
      </x:c>
      <x:c r="AG62" s="2" t="str">
        <x:f>IF(AA62="RETIRED","Excluded",IF(AA62="ACTIVE",IF(AND(I62="Complete",J62="Reviewed",M62="Ready",P62="Passed",X62=1),"Accepted","Pending"),IF(AND(I62="Complete",J62="Reviewed"),"Done","Pending")))</x:f>
        <x:v>Pending</x:v>
      </x:c>
      <x:c r="AH62" s="2" t="str">
        <x:f>IF(AA62="RETIRED","Excluded",IF(OR(AG62="Accepted",AG62="Done"),"Done",IF(ISNUMBER(W62),IF(W62&lt;$N$3,"Overdue","Planned"),"Verify baseline")))</x:f>
        <x:v>Planned</x:v>
      </x:c>
    </x:row>
    <x:row r="63" ht="43" customHeight="1">
      <x:c r="A63" s="17" t="str">
        <x:v>UC-47 · Create Copied Sales Order</x:v>
      </x:c>
      <x:c r="B63" s="2" t="str">
        <x:v>FE-06</x:v>
      </x:c>
      <x:c r="C63" s="17" t="str">
        <x:v>danghh · Customer, sales order and goods issue</x:v>
      </x:c>
      <x:c r="D63" s="2" t="str">
        <x:v>Use case</x:v>
      </x:c>
      <x:c r="E63" s="17" t="str">
        <x:v>Sales manually copies a verified external order with source line identity and evidence. Reject duplicate source orders/lines; entry changes no stock.</x:v>
      </x:c>
      <x:c r="F63" s="2" t="str">
        <x:v>Medium</x:v>
      </x:c>
      <x:c r="G63" s="13" t="n">
        <x:f>SUM(AB63:AF63)</x:f>
        <x:v>1</x:v>
      </x:c>
      <x:c r="H63" s="2" t="str">
        <x:v>Iteration 1</x:v>
      </x:c>
      <x:c r="I63" s="21" t="str">
        <x:v>To Do</x:v>
      </x:c>
      <x:c r="J63" s="21" t="str">
        <x:v>Review due</x:v>
      </x:c>
      <x:c r="K63" s="2" t="str">
        <x:v>danghh</x:v>
      </x:c>
      <x:c r="L63" s="4" t="d">
        <x:v>2026-11-27T00:00:00.000Z</x:v>
      </x:c>
      <x:c r="M63" s="21" t="str">
        <x:v>To Do</x:v>
      </x:c>
      <x:c r="N63" s="2" t="str">
        <x:v>minhtd</x:v>
      </x:c>
      <x:c r="O63" s="4" t="d">
        <x:v>2026-11-27T00:00:00.000Z</x:v>
      </x:c>
      <x:c r="P63" s="21" t="str">
        <x:v>Not Run</x:v>
      </x:c>
      <x:c r="Q63" s="2" t="str">
        <x:v>minhtd</x:v>
      </x:c>
      <x:c r="R63" s="4" t="d">
        <x:v>2026-11-27T00:00:00.000Z</x:v>
      </x:c>
      <x:c r="S63" s="17" t="str">
        <x:v>Complete = FE + API + business rules + authorization + unit tests + peer review + passed integration + synchronized documentation.</x:v>
      </x:c>
      <x:c r="T63" s="2" t="str">
        <x:v>UC-47</x:v>
      </x:c>
      <x:c r="U63" s="2" t="str">
        <x:v>danghh</x:v>
      </x:c>
      <x:c r="V63" s="4" t="d">
        <x:v>2026-10-26T00:00:00.000Z</x:v>
      </x:c>
      <x:c r="W63" s="4" t="d">
        <x:v>2026-10-30T00:00:00.000Z</x:v>
      </x:c>
      <x:c r="X63" s="22" t="n">
        <x:v>0</x:v>
      </x:c>
      <x:c r="Y63" s="23"/>
      <x:c r="Z63" s="17" t="str">
        <x:v>CORE-01; shared contracts</x:v>
      </x:c>
      <x:c r="AA63" s="2" t="str">
        <x:v>ACTIVE</x:v>
      </x:c>
      <x:c r="AB63" s="23" t="n">
        <x:v>1</x:v>
      </x:c>
      <x:c r="AC63" s="23" t="n">
        <x:v>0</x:v>
      </x:c>
      <x:c r="AD63" s="23" t="n">
        <x:v>0</x:v>
      </x:c>
      <x:c r="AE63" s="23" t="n">
        <x:v>0</x:v>
      </x:c>
      <x:c r="AF63" s="23" t="n">
        <x:v>0</x:v>
      </x:c>
      <x:c r="AG63" s="2" t="str">
        <x:f>IF(AA63="RETIRED","Excluded",IF(AA63="ACTIVE",IF(AND(I63="Complete",J63="Reviewed",M63="Ready",P63="Passed",X63=1),"Accepted","Pending"),IF(AND(I63="Complete",J63="Reviewed"),"Done","Pending")))</x:f>
        <x:v>Pending</x:v>
      </x:c>
      <x:c r="AH63" s="2" t="str">
        <x:f>IF(AA63="RETIRED","Excluded",IF(OR(AG63="Accepted",AG63="Done"),"Done",IF(ISNUMBER(W63),IF(W63&lt;$N$3,"Overdue","Planned"),"Verify baseline")))</x:f>
        <x:v>Planned</x:v>
      </x:c>
    </x:row>
    <x:row r="64" ht="48" customHeight="1">
      <x:c r="A64" s="17" t="str">
        <x:v>UC-48 · Update or Cancel Unissued Sales Order Remainder</x:v>
      </x:c>
      <x:c r="B64" s="2" t="str">
        <x:v>FE-06</x:v>
      </x:c>
      <x:c r="C64" s="17" t="str">
        <x:v>danghh · Customer, sales order and goods issue</x:v>
      </x:c>
      <x:c r="D64" s="2" t="str">
        <x:v>Use case</x:v>
      </x:c>
      <x:c r="E64" s="17" t="str">
        <x:v>Sales changes only unexecuted or posted-GR-FD-received-back, not-redelivered quantity on the original SO. Preserve source and gross ledger; unresolved off-site stock cannot be cancelled.</x:v>
      </x:c>
      <x:c r="F64" s="2" t="str">
        <x:v>Medium</x:v>
      </x:c>
      <x:c r="G64" s="13" t="n">
        <x:f>SUM(AB64:AF64)</x:f>
        <x:v>1</x:v>
      </x:c>
      <x:c r="H64" s="2" t="str">
        <x:v>Iteration 1</x:v>
      </x:c>
      <x:c r="I64" s="21" t="str">
        <x:v>To Do</x:v>
      </x:c>
      <x:c r="J64" s="21" t="str">
        <x:v>Review due</x:v>
      </x:c>
      <x:c r="K64" s="2" t="str">
        <x:v>danghh</x:v>
      </x:c>
      <x:c r="L64" s="4" t="d">
        <x:v>2026-11-27T00:00:00.000Z</x:v>
      </x:c>
      <x:c r="M64" s="21" t="str">
        <x:v>To Do</x:v>
      </x:c>
      <x:c r="N64" s="2" t="str">
        <x:v>minhtd</x:v>
      </x:c>
      <x:c r="O64" s="4" t="d">
        <x:v>2026-11-27T00:00:00.000Z</x:v>
      </x:c>
      <x:c r="P64" s="21" t="str">
        <x:v>Not Run</x:v>
      </x:c>
      <x:c r="Q64" s="2" t="str">
        <x:v>minhtd</x:v>
      </x:c>
      <x:c r="R64" s="4" t="d">
        <x:v>2026-11-27T00:00:00.000Z</x:v>
      </x:c>
      <x:c r="S64" s="17" t="str">
        <x:v>Complete = FE + API + business rules + authorization + unit tests + peer review + passed integration + synchronized documentation.</x:v>
      </x:c>
      <x:c r="T64" s="2" t="str">
        <x:v>UC-48</x:v>
      </x:c>
      <x:c r="U64" s="2" t="str">
        <x:v>danghh</x:v>
      </x:c>
      <x:c r="V64" s="4" t="d">
        <x:v>2026-10-26T00:00:00.000Z</x:v>
      </x:c>
      <x:c r="W64" s="4" t="d">
        <x:v>2026-11-06T00:00:00.000Z</x:v>
      </x:c>
      <x:c r="X64" s="22" t="n">
        <x:v>0</x:v>
      </x:c>
      <x:c r="Y64" s="23"/>
      <x:c r="Z64" s="17" t="str">
        <x:v>UC-13; UC-30; UC-33; reservation contracts</x:v>
      </x:c>
      <x:c r="AA64" s="2" t="str">
        <x:v>ACTIVE</x:v>
      </x:c>
      <x:c r="AB64" s="23" t="n">
        <x:v>0.75</x:v>
      </x:c>
      <x:c r="AC64" s="23" t="n">
        <x:v>0.25</x:v>
      </x:c>
      <x:c r="AD64" s="23" t="n">
        <x:v>0</x:v>
      </x:c>
      <x:c r="AE64" s="23" t="n">
        <x:v>0</x:v>
      </x:c>
      <x:c r="AF64" s="23" t="n">
        <x:v>0</x:v>
      </x:c>
      <x:c r="AG64" s="2" t="str">
        <x:f>IF(AA64="RETIRED","Excluded",IF(AA64="ACTIVE",IF(AND(I64="Complete",J64="Reviewed",M64="Ready",P64="Passed",X64=1),"Accepted","Pending"),IF(AND(I64="Complete",J64="Reviewed"),"Done","Pending")))</x:f>
        <x:v>Pending</x:v>
      </x:c>
      <x:c r="AH64" s="2" t="str">
        <x:f>IF(AA64="RETIRED","Excluded",IF(OR(AG64="Accepted",AG64="Done"),"Done",IF(ISNUMBER(W64),IF(W64&lt;$N$3,"Overdue","Planned"),"Verify baseline")))</x:f>
        <x:v>Planned</x:v>
      </x:c>
    </x:row>
    <x:row r="65" ht="43" customHeight="1">
      <x:c r="A65" s="17" t="str">
        <x:v>UC-49 · View Outbound Delivery List</x:v>
      </x:c>
      <x:c r="B65" s="2" t="str">
        <x:v>FE-06</x:v>
      </x:c>
      <x:c r="C65" s="17" t="str">
        <x:v>danghh · Customer, sales order and goods issue</x:v>
      </x:c>
      <x:c r="D65" s="2" t="str">
        <x:v>Use case</x:v>
      </x:c>
      <x:c r="E65" s="17" t="str">
        <x:v>Read-only outbound delivery search and listing.</x:v>
      </x:c>
      <x:c r="F65" s="2" t="str">
        <x:v>Simple</x:v>
      </x:c>
      <x:c r="G65" s="13" t="n">
        <x:f>SUM(AB65:AF65)</x:f>
        <x:v>0.25</x:v>
      </x:c>
      <x:c r="H65" s="2" t="str">
        <x:v>Iteration 1</x:v>
      </x:c>
      <x:c r="I65" s="21" t="str">
        <x:v>To Do</x:v>
      </x:c>
      <x:c r="J65" s="21" t="str">
        <x:v>Review due</x:v>
      </x:c>
      <x:c r="K65" s="2" t="str">
        <x:v>danghh</x:v>
      </x:c>
      <x:c r="L65" s="4" t="d">
        <x:v>2026-11-27T00:00:00.000Z</x:v>
      </x:c>
      <x:c r="M65" s="21" t="str">
        <x:v>To Do</x:v>
      </x:c>
      <x:c r="N65" s="2" t="str">
        <x:v>minhtd</x:v>
      </x:c>
      <x:c r="O65" s="4" t="d">
        <x:v>2026-11-27T00:00:00.000Z</x:v>
      </x:c>
      <x:c r="P65" s="21" t="str">
        <x:v>Not Run</x:v>
      </x:c>
      <x:c r="Q65" s="2" t="str">
        <x:v>minhtd</x:v>
      </x:c>
      <x:c r="R65" s="4" t="d">
        <x:v>2026-11-27T00:00:00.000Z</x:v>
      </x:c>
      <x:c r="S65" s="17" t="str">
        <x:v>Complete = FE + API + business rules + authorization + unit tests + peer review + passed integration + synchronized documentation.</x:v>
      </x:c>
      <x:c r="T65" s="2" t="str">
        <x:v>UC-49</x:v>
      </x:c>
      <x:c r="U65" s="2" t="str">
        <x:v>danghh</x:v>
      </x:c>
      <x:c r="V65" s="4" t="d">
        <x:v>2026-11-02T00:00:00.000Z</x:v>
      </x:c>
      <x:c r="W65" s="4" t="d">
        <x:v>2026-11-06T00:00:00.000Z</x:v>
      </x:c>
      <x:c r="X65" s="22" t="n">
        <x:v>0</x:v>
      </x:c>
      <x:c r="Y65" s="23"/>
      <x:c r="Z65" s="17" t="str">
        <x:v>UC-13; UC-30; UC-33; reservation contracts</x:v>
      </x:c>
      <x:c r="AA65" s="2" t="str">
        <x:v>ACTIVE</x:v>
      </x:c>
      <x:c r="AB65" s="23" t="n">
        <x:v>0</x:v>
      </x:c>
      <x:c r="AC65" s="23" t="n">
        <x:v>0.25</x:v>
      </x:c>
      <x:c r="AD65" s="23" t="n">
        <x:v>0</x:v>
      </x:c>
      <x:c r="AE65" s="23" t="n">
        <x:v>0</x:v>
      </x:c>
      <x:c r="AF65" s="23" t="n">
        <x:v>0</x:v>
      </x:c>
      <x:c r="AG65" s="2" t="str">
        <x:f>IF(AA65="RETIRED","Excluded",IF(AA65="ACTIVE",IF(AND(I65="Complete",J65="Reviewed",M65="Ready",P65="Passed",X65=1),"Accepted","Pending"),IF(AND(I65="Complete",J65="Reviewed"),"Done","Pending")))</x:f>
        <x:v>Pending</x:v>
      </x:c>
      <x:c r="AH65" s="2" t="str">
        <x:f>IF(AA65="RETIRED","Excluded",IF(OR(AG65="Accepted",AG65="Done"),"Done",IF(ISNUMBER(W65),IF(W65&lt;$N$3,"Overdue","Planned"),"Verify baseline")))</x:f>
        <x:v>Planned</x:v>
      </x:c>
    </x:row>
    <x:row r="66" ht="43" customHeight="1">
      <x:c r="A66" s="17" t="str">
        <x:v>UC-50 · View Outbound Delivery Details</x:v>
      </x:c>
      <x:c r="B66" s="2" t="str">
        <x:v>FE-06</x:v>
      </x:c>
      <x:c r="C66" s="17" t="str">
        <x:v>danghh · Customer, sales order and goods issue</x:v>
      </x:c>
      <x:c r="D66" s="2" t="str">
        <x:v>Use case</x:v>
      </x:c>
      <x:c r="E66" s="17" t="str">
        <x:v>Read-only outbound delivery details.</x:v>
      </x:c>
      <x:c r="F66" s="2" t="str">
        <x:v>Simple</x:v>
      </x:c>
      <x:c r="G66" s="13" t="n">
        <x:f>SUM(AB66:AF66)</x:f>
        <x:v>0.25</x:v>
      </x:c>
      <x:c r="H66" s="2" t="str">
        <x:v>Iteration 1</x:v>
      </x:c>
      <x:c r="I66" s="21" t="str">
        <x:v>To Do</x:v>
      </x:c>
      <x:c r="J66" s="21" t="str">
        <x:v>Review due</x:v>
      </x:c>
      <x:c r="K66" s="2" t="str">
        <x:v>danghh</x:v>
      </x:c>
      <x:c r="L66" s="4" t="d">
        <x:v>2026-11-27T00:00:00.000Z</x:v>
      </x:c>
      <x:c r="M66" s="21" t="str">
        <x:v>To Do</x:v>
      </x:c>
      <x:c r="N66" s="2" t="str">
        <x:v>minhtd</x:v>
      </x:c>
      <x:c r="O66" s="4" t="d">
        <x:v>2026-11-27T00:00:00.000Z</x:v>
      </x:c>
      <x:c r="P66" s="21" t="str">
        <x:v>Not Run</x:v>
      </x:c>
      <x:c r="Q66" s="2" t="str">
        <x:v>minhtd</x:v>
      </x:c>
      <x:c r="R66" s="4" t="d">
        <x:v>2026-11-27T00:00:00.000Z</x:v>
      </x:c>
      <x:c r="S66" s="17" t="str">
        <x:v>Complete = FE + API + business rules + authorization + unit tests + peer review + passed integration + synchronized documentation.</x:v>
      </x:c>
      <x:c r="T66" s="2" t="str">
        <x:v>UC-50</x:v>
      </x:c>
      <x:c r="U66" s="2" t="str">
        <x:v>danghh</x:v>
      </x:c>
      <x:c r="V66" s="4" t="d">
        <x:v>2026-11-02T00:00:00.000Z</x:v>
      </x:c>
      <x:c r="W66" s="4" t="d">
        <x:v>2026-11-06T00:00:00.000Z</x:v>
      </x:c>
      <x:c r="X66" s="22" t="n">
        <x:v>0</x:v>
      </x:c>
      <x:c r="Y66" s="23"/>
      <x:c r="Z66" s="17" t="str">
        <x:v>UC-13; UC-30; UC-33; reservation contracts</x:v>
      </x:c>
      <x:c r="AA66" s="2" t="str">
        <x:v>ACTIVE</x:v>
      </x:c>
      <x:c r="AB66" s="23" t="n">
        <x:v>0</x:v>
      </x:c>
      <x:c r="AC66" s="23" t="n">
        <x:v>0.25</x:v>
      </x:c>
      <x:c r="AD66" s="23" t="n">
        <x:v>0</x:v>
      </x:c>
      <x:c r="AE66" s="23" t="n">
        <x:v>0</x:v>
      </x:c>
      <x:c r="AF66" s="23" t="n">
        <x:v>0</x:v>
      </x:c>
      <x:c r="AG66" s="2" t="str">
        <x:f>IF(AA66="RETIRED","Excluded",IF(AA66="ACTIVE",IF(AND(I66="Complete",J66="Reviewed",M66="Ready",P66="Passed",X66=1),"Accepted","Pending"),IF(AND(I66="Complete",J66="Reviewed"),"Done","Pending")))</x:f>
        <x:v>Pending</x:v>
      </x:c>
      <x:c r="AH66" s="2" t="str">
        <x:f>IF(AA66="RETIRED","Excluded",IF(OR(AG66="Accepted",AG66="Done"),"Done",IF(ISNUMBER(W66),IF(W66&lt;$N$3,"Overdue","Planned"),"Verify baseline")))</x:f>
        <x:v>Planned</x:v>
      </x:c>
    </x:row>
    <x:row r="67" ht="43" customHeight="1">
      <x:c r="A67" s="17" t="str">
        <x:v>UC-51 · Create Outbound Delivery</x:v>
      </x:c>
      <x:c r="B67" s="2" t="str">
        <x:v>FE-06</x:v>
      </x:c>
      <x:c r="C67" s="17" t="str">
        <x:v>danghh · Customer, sales order and goods issue</x:v>
      </x:c>
      <x:c r="D67" s="2" t="str">
        <x:v>Use case</x:v>
      </x:c>
      <x:c r="E67" s="17" t="str">
        <x:v>Sales plans OD within net WIR allowance; redelivery reuses original OD or traceably transfers reopened commitment to replacement OD without new demand.</x:v>
      </x:c>
      <x:c r="F67" s="2" t="str">
        <x:v>Medium</x:v>
      </x:c>
      <x:c r="G67" s="13" t="n">
        <x:f>SUM(AB67:AF67)</x:f>
        <x:v>1</x:v>
      </x:c>
      <x:c r="H67" s="2" t="str">
        <x:v>Iteration 1</x:v>
      </x:c>
      <x:c r="I67" s="21" t="str">
        <x:v>To Do</x:v>
      </x:c>
      <x:c r="J67" s="21" t="str">
        <x:v>Review due</x:v>
      </x:c>
      <x:c r="K67" s="2" t="str">
        <x:v>danghh</x:v>
      </x:c>
      <x:c r="L67" s="4" t="d">
        <x:v>2026-11-27T00:00:00.000Z</x:v>
      </x:c>
      <x:c r="M67" s="21" t="str">
        <x:v>To Do</x:v>
      </x:c>
      <x:c r="N67" s="2" t="str">
        <x:v>minhtd</x:v>
      </x:c>
      <x:c r="O67" s="4" t="d">
        <x:v>2026-11-27T00:00:00.000Z</x:v>
      </x:c>
      <x:c r="P67" s="21" t="str">
        <x:v>Not Run</x:v>
      </x:c>
      <x:c r="Q67" s="2" t="str">
        <x:v>minhtd</x:v>
      </x:c>
      <x:c r="R67" s="4" t="d">
        <x:v>2026-11-27T00:00:00.000Z</x:v>
      </x:c>
      <x:c r="S67" s="17" t="str">
        <x:v>Complete = FE + API + business rules + authorization + unit tests + peer review + passed integration + synchronized documentation.</x:v>
      </x:c>
      <x:c r="T67" s="2" t="str">
        <x:v>UC-51</x:v>
      </x:c>
      <x:c r="U67" s="2" t="str">
        <x:v>danghh</x:v>
      </x:c>
      <x:c r="V67" s="4" t="d">
        <x:v>2026-11-02T00:00:00.000Z</x:v>
      </x:c>
      <x:c r="W67" s="4" t="d">
        <x:v>2026-11-06T00:00:00.000Z</x:v>
      </x:c>
      <x:c r="X67" s="22" t="n">
        <x:v>0</x:v>
      </x:c>
      <x:c r="Y67" s="23"/>
      <x:c r="Z67" s="17" t="str">
        <x:v>UC-13; UC-30; UC-33; reservation contracts</x:v>
      </x:c>
      <x:c r="AA67" s="2" t="str">
        <x:v>ACTIVE</x:v>
      </x:c>
      <x:c r="AB67" s="23" t="n">
        <x:v>0</x:v>
      </x:c>
      <x:c r="AC67" s="23" t="n">
        <x:v>1</x:v>
      </x:c>
      <x:c r="AD67" s="23" t="n">
        <x:v>0</x:v>
      </x:c>
      <x:c r="AE67" s="23" t="n">
        <x:v>0</x:v>
      </x:c>
      <x:c r="AF67" s="23" t="n">
        <x:v>0</x:v>
      </x:c>
      <x:c r="AG67" s="2" t="str">
        <x:f>IF(AA67="RETIRED","Excluded",IF(AA67="ACTIVE",IF(AND(I67="Complete",J67="Reviewed",M67="Ready",P67="Passed",X67=1),"Accepted","Pending"),IF(AND(I67="Complete",J67="Reviewed"),"Done","Pending")))</x:f>
        <x:v>Pending</x:v>
      </x:c>
      <x:c r="AH67" s="2" t="str">
        <x:f>IF(AA67="RETIRED","Excluded",IF(OR(AG67="Accepted",AG67="Done"),"Done",IF(ISNUMBER(W67),IF(W67&lt;$N$3,"Overdue","Planned"),"Verify baseline")))</x:f>
        <x:v>Planned</x:v>
      </x:c>
    </x:row>
    <x:row r="68" ht="43" customHeight="1">
      <x:c r="A68" s="17" t="str">
        <x:v>UC-52 · View Picking Task List</x:v>
      </x:c>
      <x:c r="B68" s="2" t="str">
        <x:v>FE-06</x:v>
      </x:c>
      <x:c r="C68" s="17" t="str">
        <x:v>danghh · Customer, sales order and goods issue</x:v>
      </x:c>
      <x:c r="D68" s="2" t="str">
        <x:v>Use case</x:v>
      </x:c>
      <x:c r="E68" s="17" t="str">
        <x:v>Read authorized warehouse picking tasks associated with outbound delivery releases.</x:v>
      </x:c>
      <x:c r="F68" s="2" t="str">
        <x:v>Simple</x:v>
      </x:c>
      <x:c r="G68" s="13" t="n">
        <x:f>SUM(AB68:AF68)</x:f>
        <x:v>0.25</x:v>
      </x:c>
      <x:c r="H68" s="2" t="str">
        <x:v>Iteration 1</x:v>
      </x:c>
      <x:c r="I68" s="21" t="str">
        <x:v>To Do</x:v>
      </x:c>
      <x:c r="J68" s="21" t="str">
        <x:v>Review due</x:v>
      </x:c>
      <x:c r="K68" s="2" t="str">
        <x:v>danghh</x:v>
      </x:c>
      <x:c r="L68" s="4" t="d">
        <x:v>2026-11-27T00:00:00.000Z</x:v>
      </x:c>
      <x:c r="M68" s="21" t="str">
        <x:v>To Do</x:v>
      </x:c>
      <x:c r="N68" s="2" t="str">
        <x:v>minhtd</x:v>
      </x:c>
      <x:c r="O68" s="4" t="d">
        <x:v>2026-11-27T00:00:00.000Z</x:v>
      </x:c>
      <x:c r="P68" s="21" t="str">
        <x:v>Not Run</x:v>
      </x:c>
      <x:c r="Q68" s="2" t="str">
        <x:v>minhtd</x:v>
      </x:c>
      <x:c r="R68" s="4" t="d">
        <x:v>2026-11-27T00:00:00.000Z</x:v>
      </x:c>
      <x:c r="S68" s="17" t="str">
        <x:v>Complete = FE + API + business rules + authorization + unit tests + peer review + passed integration + synchronized documentation.</x:v>
      </x:c>
      <x:c r="T68" s="2" t="str">
        <x:v>UC-52</x:v>
      </x:c>
      <x:c r="U68" s="2" t="str">
        <x:v>danghh</x:v>
      </x:c>
      <x:c r="V68" s="4" t="d">
        <x:v>2026-11-02T00:00:00.000Z</x:v>
      </x:c>
      <x:c r="W68" s="4" t="d">
        <x:v>2026-11-06T00:00:00.000Z</x:v>
      </x:c>
      <x:c r="X68" s="22" t="n">
        <x:v>0</x:v>
      </x:c>
      <x:c r="Y68" s="23"/>
      <x:c r="Z68" s="17" t="str">
        <x:v>UC-13; UC-30; UC-33; reservation contracts</x:v>
      </x:c>
      <x:c r="AA68" s="2" t="str">
        <x:v>ACTIVE</x:v>
      </x:c>
      <x:c r="AB68" s="23" t="n">
        <x:v>0</x:v>
      </x:c>
      <x:c r="AC68" s="23" t="n">
        <x:v>0.25</x:v>
      </x:c>
      <x:c r="AD68" s="23" t="n">
        <x:v>0</x:v>
      </x:c>
      <x:c r="AE68" s="23" t="n">
        <x:v>0</x:v>
      </x:c>
      <x:c r="AF68" s="23" t="n">
        <x:v>0</x:v>
      </x:c>
      <x:c r="AG68" s="2" t="str">
        <x:f>IF(AA68="RETIRED","Excluded",IF(AA68="ACTIVE",IF(AND(I68="Complete",J68="Reviewed",M68="Ready",P68="Passed",X68=1),"Accepted","Pending"),IF(AND(I68="Complete",J68="Reviewed"),"Done","Pending")))</x:f>
        <x:v>Pending</x:v>
      </x:c>
      <x:c r="AH68" s="2" t="str">
        <x:f>IF(AA68="RETIRED","Excluded",IF(OR(AG68="Accepted",AG68="Done"),"Done",IF(ISNUMBER(W68),IF(W68&lt;$N$3,"Overdue","Planned"),"Verify baseline")))</x:f>
        <x:v>Planned</x:v>
      </x:c>
    </x:row>
    <x:row r="69" ht="43" customHeight="1">
      <x:c r="A69" s="17" t="str">
        <x:v>UC-53 · View Picking Task Details</x:v>
      </x:c>
      <x:c r="B69" s="2" t="str">
        <x:v>FE-06</x:v>
      </x:c>
      <x:c r="C69" s="17" t="str">
        <x:v>danghh · Customer, sales order and goods issue</x:v>
      </x:c>
      <x:c r="D69" s="2" t="str">
        <x:v>Use case</x:v>
      </x:c>
      <x:c r="E69" s="17" t="str">
        <x:v>Read required lot/location, assigned quantities, reservations, actual picks and shortage/defect evidence.</x:v>
      </x:c>
      <x:c r="F69" s="2" t="str">
        <x:v>Simple</x:v>
      </x:c>
      <x:c r="G69" s="13" t="n">
        <x:f>SUM(AB69:AF69)</x:f>
        <x:v>0.25</x:v>
      </x:c>
      <x:c r="H69" s="2" t="str">
        <x:v>Iteration 1</x:v>
      </x:c>
      <x:c r="I69" s="21" t="str">
        <x:v>To Do</x:v>
      </x:c>
      <x:c r="J69" s="21" t="str">
        <x:v>Review due</x:v>
      </x:c>
      <x:c r="K69" s="2" t="str">
        <x:v>danghh</x:v>
      </x:c>
      <x:c r="L69" s="4" t="d">
        <x:v>2026-11-27T00:00:00.000Z</x:v>
      </x:c>
      <x:c r="M69" s="21" t="str">
        <x:v>To Do</x:v>
      </x:c>
      <x:c r="N69" s="2" t="str">
        <x:v>minhtd</x:v>
      </x:c>
      <x:c r="O69" s="4" t="d">
        <x:v>2026-11-27T00:00:00.000Z</x:v>
      </x:c>
      <x:c r="P69" s="21" t="str">
        <x:v>Not Run</x:v>
      </x:c>
      <x:c r="Q69" s="2" t="str">
        <x:v>minhtd</x:v>
      </x:c>
      <x:c r="R69" s="4" t="d">
        <x:v>2026-11-27T00:00:00.000Z</x:v>
      </x:c>
      <x:c r="S69" s="17" t="str">
        <x:v>Complete = FE + API + business rules + authorization + unit tests + peer review + passed integration + synchronized documentation.</x:v>
      </x:c>
      <x:c r="T69" s="2" t="str">
        <x:v>UC-53</x:v>
      </x:c>
      <x:c r="U69" s="2" t="str">
        <x:v>danghh</x:v>
      </x:c>
      <x:c r="V69" s="4" t="d">
        <x:v>2026-11-02T00:00:00.000Z</x:v>
      </x:c>
      <x:c r="W69" s="4" t="d">
        <x:v>2026-11-06T00:00:00.000Z</x:v>
      </x:c>
      <x:c r="X69" s="22" t="n">
        <x:v>0</x:v>
      </x:c>
      <x:c r="Y69" s="23"/>
      <x:c r="Z69" s="17" t="str">
        <x:v>UC-13; UC-30; UC-33; reservation contracts</x:v>
      </x:c>
      <x:c r="AA69" s="2" t="str">
        <x:v>ACTIVE</x:v>
      </x:c>
      <x:c r="AB69" s="23" t="n">
        <x:v>0</x:v>
      </x:c>
      <x:c r="AC69" s="23" t="n">
        <x:v>0.25</x:v>
      </x:c>
      <x:c r="AD69" s="23" t="n">
        <x:v>0</x:v>
      </x:c>
      <x:c r="AE69" s="23" t="n">
        <x:v>0</x:v>
      </x:c>
      <x:c r="AF69" s="23" t="n">
        <x:v>0</x:v>
      </x:c>
      <x:c r="AG69" s="2" t="str">
        <x:f>IF(AA69="RETIRED","Excluded",IF(AA69="ACTIVE",IF(AND(I69="Complete",J69="Reviewed",M69="Ready",P69="Passed",X69=1),"Accepted","Pending"),IF(AND(I69="Complete",J69="Reviewed"),"Done","Pending")))</x:f>
        <x:v>Pending</x:v>
      </x:c>
      <x:c r="AH69" s="2" t="str">
        <x:f>IF(AA69="RETIRED","Excluded",IF(OR(AG69="Accepted",AG69="Done"),"Done",IF(ISNUMBER(W69),IF(W69&lt;$N$3,"Overdue","Planned"),"Verify baseline")))</x:f>
        <x:v>Planned</x:v>
      </x:c>
    </x:row>
    <x:row r="70" ht="48" customHeight="1">
      <x:c r="A70" s="17" t="str">
        <x:v>UC-54 · Create Picking Task</x:v>
      </x:c>
      <x:c r="B70" s="2" t="str">
        <x:v>FE-06</x:v>
      </x:c>
      <x:c r="C70" s="17" t="str">
        <x:v>danghh · Customer, sales order and goods issue</x:v>
      </x:c>
      <x:c r="D70" s="2" t="str">
        <x:v>Use case</x:v>
      </x:c>
      <x:c r="E70" s="17" t="str">
        <x:v>Warehouse creates picking TO against existing draft GI-S/OD, with compatible stock and FIFO within compatibility; task is execution, not Owner approval.</x:v>
      </x:c>
      <x:c r="F70" s="2" t="str">
        <x:v>Medium</x:v>
      </x:c>
      <x:c r="G70" s="13" t="n">
        <x:f>SUM(AB70:AF70)</x:f>
        <x:v>1</x:v>
      </x:c>
      <x:c r="H70" s="2" t="str">
        <x:v>Iteration 1</x:v>
      </x:c>
      <x:c r="I70" s="21" t="str">
        <x:v>To Do</x:v>
      </x:c>
      <x:c r="J70" s="21" t="str">
        <x:v>Review due</x:v>
      </x:c>
      <x:c r="K70" s="2" t="str">
        <x:v>danghh</x:v>
      </x:c>
      <x:c r="L70" s="4" t="d">
        <x:v>2026-11-27T00:00:00.000Z</x:v>
      </x:c>
      <x:c r="M70" s="21" t="str">
        <x:v>To Do</x:v>
      </x:c>
      <x:c r="N70" s="2" t="str">
        <x:v>minhtd</x:v>
      </x:c>
      <x:c r="O70" s="4" t="d">
        <x:v>2026-11-27T00:00:00.000Z</x:v>
      </x:c>
      <x:c r="P70" s="21" t="str">
        <x:v>Not Run</x:v>
      </x:c>
      <x:c r="Q70" s="2" t="str">
        <x:v>minhtd</x:v>
      </x:c>
      <x:c r="R70" s="4" t="d">
        <x:v>2026-11-27T00:00:00.000Z</x:v>
      </x:c>
      <x:c r="S70" s="17" t="str">
        <x:v>Complete = FE + API + business rules + authorization + unit tests + peer review + passed integration + synchronized documentation.</x:v>
      </x:c>
      <x:c r="T70" s="2" t="str">
        <x:v>UC-54</x:v>
      </x:c>
      <x:c r="U70" s="2" t="str">
        <x:v>danghh</x:v>
      </x:c>
      <x:c r="V70" s="4" t="d">
        <x:v>2026-11-02T00:00:00.000Z</x:v>
      </x:c>
      <x:c r="W70" s="4" t="d">
        <x:v>2026-11-06T00:00:00.000Z</x:v>
      </x:c>
      <x:c r="X70" s="22" t="n">
        <x:v>0</x:v>
      </x:c>
      <x:c r="Y70" s="23"/>
      <x:c r="Z70" s="17" t="str">
        <x:v>UC-13; UC-30; UC-33; reservation contracts</x:v>
      </x:c>
      <x:c r="AA70" s="2" t="str">
        <x:v>ACTIVE</x:v>
      </x:c>
      <x:c r="AB70" s="23" t="n">
        <x:v>0</x:v>
      </x:c>
      <x:c r="AC70" s="23" t="n">
        <x:v>1</x:v>
      </x:c>
      <x:c r="AD70" s="23" t="n">
        <x:v>0</x:v>
      </x:c>
      <x:c r="AE70" s="23" t="n">
        <x:v>0</x:v>
      </x:c>
      <x:c r="AF70" s="23" t="n">
        <x:v>0</x:v>
      </x:c>
      <x:c r="AG70" s="2" t="str">
        <x:f>IF(AA70="RETIRED","Excluded",IF(AA70="ACTIVE",IF(AND(I70="Complete",J70="Reviewed",M70="Ready",P70="Passed",X70=1),"Accepted","Pending"),IF(AND(I70="Complete",J70="Reviewed"),"Done","Pending")))</x:f>
        <x:v>Pending</x:v>
      </x:c>
      <x:c r="AH70" s="2" t="str">
        <x:f>IF(AA70="RETIRED","Excluded",IF(OR(AG70="Accepted",AG70="Done"),"Done",IF(ISNUMBER(W70),IF(W70&lt;$N$3,"Overdue","Planned"),"Verify baseline")))</x:f>
        <x:v>Planned</x:v>
      </x:c>
    </x:row>
    <x:row r="71" ht="48" customHeight="1">
      <x:c r="A71" s="17" t="str">
        <x:v>UC-55 · Confirm Picking Task</x:v>
      </x:c>
      <x:c r="B71" s="2" t="str">
        <x:v>FE-06</x:v>
      </x:c>
      <x:c r="C71" s="17" t="str">
        <x:v>danghh · Customer, sales order and goods issue</x:v>
      </x:c>
      <x:c r="D71" s="2" t="str">
        <x:v>Use case</x:v>
      </x:c>
      <x:c r="E71" s="17" t="str">
        <x:v>Warehouse Staff confirms actual BOX/PIECE quantities into staging and preserves reservations and total stock. Shortage/damage routes to BF-02/05 or replanning; no silent stock correction.</x:v>
      </x:c>
      <x:c r="F71" s="2" t="str">
        <x:v>Complex</x:v>
      </x:c>
      <x:c r="G71" s="13" t="n">
        <x:f>SUM(AB71:AF71)</x:f>
        <x:v>1.5</x:v>
      </x:c>
      <x:c r="H71" s="2" t="str">
        <x:v>Iteration 2</x:v>
      </x:c>
      <x:c r="I71" s="21" t="str">
        <x:v>To Do</x:v>
      </x:c>
      <x:c r="J71" s="21" t="str">
        <x:v>Review due</x:v>
      </x:c>
      <x:c r="K71" s="2" t="str">
        <x:v>danghh</x:v>
      </x:c>
      <x:c r="L71" s="4" t="d">
        <x:v>2026-11-27T00:00:00.000Z</x:v>
      </x:c>
      <x:c r="M71" s="21" t="str">
        <x:v>To Do</x:v>
      </x:c>
      <x:c r="N71" s="2" t="str">
        <x:v>minhtd</x:v>
      </x:c>
      <x:c r="O71" s="4" t="d">
        <x:v>2026-11-27T00:00:00.000Z</x:v>
      </x:c>
      <x:c r="P71" s="21" t="str">
        <x:v>Not Run</x:v>
      </x:c>
      <x:c r="Q71" s="2" t="str">
        <x:v>minhtd</x:v>
      </x:c>
      <x:c r="R71" s="4" t="d">
        <x:v>2026-11-27T00:00:00.000Z</x:v>
      </x:c>
      <x:c r="S71" s="17" t="str">
        <x:v>Complete = FE + API + business rules + authorization + unit tests + peer review + passed integration + synchronized documentation.</x:v>
      </x:c>
      <x:c r="T71" s="2" t="str">
        <x:v>UC-55</x:v>
      </x:c>
      <x:c r="U71" s="2" t="str">
        <x:v>danghh</x:v>
      </x:c>
      <x:c r="V71" s="4" t="d">
        <x:v>2026-11-02T00:00:00.000Z</x:v>
      </x:c>
      <x:c r="W71" s="4" t="d">
        <x:v>2026-11-13T00:00:00.000Z</x:v>
      </x:c>
      <x:c r="X71" s="22" t="n">
        <x:v>0</x:v>
      </x:c>
      <x:c r="Y71" s="23"/>
      <x:c r="Z71" s="17" t="str">
        <x:v>UC-13; UC-30; UC-33; reservation contracts</x:v>
      </x:c>
      <x:c r="AA71" s="2" t="str">
        <x:v>ACTIVE</x:v>
      </x:c>
      <x:c r="AB71" s="23" t="n">
        <x:v>0</x:v>
      </x:c>
      <x:c r="AC71" s="23" t="n">
        <x:v>0.25</x:v>
      </x:c>
      <x:c r="AD71" s="23" t="n">
        <x:v>1.25</x:v>
      </x:c>
      <x:c r="AE71" s="23" t="n">
        <x:v>0</x:v>
      </x:c>
      <x:c r="AF71" s="23" t="n">
        <x:v>0</x:v>
      </x:c>
      <x:c r="AG71" s="2" t="str">
        <x:f>IF(AA71="RETIRED","Excluded",IF(AA71="ACTIVE",IF(AND(I71="Complete",J71="Reviewed",M71="Ready",P71="Passed",X71=1),"Accepted","Pending"),IF(AND(I71="Complete",J71="Reviewed"),"Done","Pending")))</x:f>
        <x:v>Pending</x:v>
      </x:c>
      <x:c r="AH71" s="2" t="str">
        <x:f>IF(AA71="RETIRED","Excluded",IF(OR(AG71="Accepted",AG71="Done"),"Done",IF(ISNUMBER(W71),IF(W71&lt;$N$3,"Overdue","Planned"),"Verify baseline")))</x:f>
        <x:v>Planned</x:v>
      </x:c>
    </x:row>
    <x:row r="72" ht="43" customHeight="1">
      <x:c r="A72" s="17" t="str">
        <x:v>UC-56 · View goods issue list</x:v>
      </x:c>
      <x:c r="B72" s="2" t="str">
        <x:v>FE-06</x:v>
      </x:c>
      <x:c r="C72" s="17" t="str">
        <x:v>danghh · Customer, sales order and goods issue</x:v>
      </x:c>
      <x:c r="D72" s="2" t="str">
        <x:v>Use case</x:v>
      </x:c>
      <x:c r="E72" s="17" t="str">
        <x:v>Search by source request, issue date, and status.</x:v>
      </x:c>
      <x:c r="F72" s="2" t="str">
        <x:v>Simple</x:v>
      </x:c>
      <x:c r="G72" s="13" t="n">
        <x:f>SUM(AB72:AF72)</x:f>
        <x:v>0.25</x:v>
      </x:c>
      <x:c r="H72" s="2" t="str">
        <x:v>Iteration 2</x:v>
      </x:c>
      <x:c r="I72" s="21" t="str">
        <x:v>To Do</x:v>
      </x:c>
      <x:c r="J72" s="21" t="str">
        <x:v>Review due</x:v>
      </x:c>
      <x:c r="K72" s="2" t="str">
        <x:v>danghh</x:v>
      </x:c>
      <x:c r="L72" s="4" t="d">
        <x:v>2026-11-27T00:00:00.000Z</x:v>
      </x:c>
      <x:c r="M72" s="21" t="str">
        <x:v>To Do</x:v>
      </x:c>
      <x:c r="N72" s="2" t="str">
        <x:v>minhtd</x:v>
      </x:c>
      <x:c r="O72" s="4" t="d">
        <x:v>2026-11-27T00:00:00.000Z</x:v>
      </x:c>
      <x:c r="P72" s="21" t="str">
        <x:v>Not Run</x:v>
      </x:c>
      <x:c r="Q72" s="2" t="str">
        <x:v>minhtd</x:v>
      </x:c>
      <x:c r="R72" s="4" t="d">
        <x:v>2026-11-27T00:00:00.000Z</x:v>
      </x:c>
      <x:c r="S72" s="17" t="str">
        <x:v>Complete = FE + API + business rules + authorization + unit tests + peer review + passed integration + synchronized documentation.</x:v>
      </x:c>
      <x:c r="T72" s="2" t="str">
        <x:v>UC-56</x:v>
      </x:c>
      <x:c r="U72" s="2" t="str">
        <x:v>danghh</x:v>
      </x:c>
      <x:c r="V72" s="4" t="d">
        <x:v>2026-11-09T00:00:00.000Z</x:v>
      </x:c>
      <x:c r="W72" s="4" t="d">
        <x:v>2026-11-13T00:00:00.000Z</x:v>
      </x:c>
      <x:c r="X72" s="22" t="n">
        <x:v>0</x:v>
      </x:c>
      <x:c r="Y72" s="23"/>
      <x:c r="Z72" s="17" t="str">
        <x:v>UC-13; UC-30; UC-33; reservation contracts</x:v>
      </x:c>
      <x:c r="AA72" s="2" t="str">
        <x:v>ACTIVE</x:v>
      </x:c>
      <x:c r="AB72" s="23" t="n">
        <x:v>0</x:v>
      </x:c>
      <x:c r="AC72" s="23" t="n">
        <x:v>0</x:v>
      </x:c>
      <x:c r="AD72" s="23" t="n">
        <x:v>0.25</x:v>
      </x:c>
      <x:c r="AE72" s="23" t="n">
        <x:v>0</x:v>
      </x:c>
      <x:c r="AF72" s="23" t="n">
        <x:v>0</x:v>
      </x:c>
      <x:c r="AG72" s="2" t="str">
        <x:f>IF(AA72="RETIRED","Excluded",IF(AA72="ACTIVE",IF(AND(I72="Complete",J72="Reviewed",M72="Ready",P72="Passed",X72=1),"Accepted","Pending"),IF(AND(I72="Complete",J72="Reviewed"),"Done","Pending")))</x:f>
        <x:v>Pending</x:v>
      </x:c>
      <x:c r="AH72" s="2" t="str">
        <x:f>IF(AA72="RETIRED","Excluded",IF(OR(AG72="Accepted",AG72="Done"),"Done",IF(ISNUMBER(W72),IF(W72&lt;$N$3,"Overdue","Planned"),"Verify baseline")))</x:f>
        <x:v>Planned</x:v>
      </x:c>
    </x:row>
    <x:row r="73" ht="43" customHeight="1">
      <x:c r="A73" s="17" t="str">
        <x:v>UC-57 · View goods issue details</x:v>
      </x:c>
      <x:c r="B73" s="2" t="str">
        <x:v>FE-06</x:v>
      </x:c>
      <x:c r="C73" s="17" t="str">
        <x:v>danghh · Customer, sales order and goods issue</x:v>
      </x:c>
      <x:c r="D73" s="2" t="str">
        <x:v>Use case</x:v>
      </x:c>
      <x:c r="E73" s="17" t="str">
        <x:v>Display lot, location, prepared quantity, and actual issued quantity by line.</x:v>
      </x:c>
      <x:c r="F73" s="2" t="str">
        <x:v>Simple</x:v>
      </x:c>
      <x:c r="G73" s="13" t="n">
        <x:f>SUM(AB73:AF73)</x:f>
        <x:v>0.25</x:v>
      </x:c>
      <x:c r="H73" s="2" t="str">
        <x:v>Iteration 2</x:v>
      </x:c>
      <x:c r="I73" s="21" t="str">
        <x:v>To Do</x:v>
      </x:c>
      <x:c r="J73" s="21" t="str">
        <x:v>Review due</x:v>
      </x:c>
      <x:c r="K73" s="2" t="str">
        <x:v>danghh</x:v>
      </x:c>
      <x:c r="L73" s="4" t="d">
        <x:v>2026-11-27T00:00:00.000Z</x:v>
      </x:c>
      <x:c r="M73" s="21" t="str">
        <x:v>To Do</x:v>
      </x:c>
      <x:c r="N73" s="2" t="str">
        <x:v>minhtd</x:v>
      </x:c>
      <x:c r="O73" s="4" t="d">
        <x:v>2026-11-27T00:00:00.000Z</x:v>
      </x:c>
      <x:c r="P73" s="21" t="str">
        <x:v>Not Run</x:v>
      </x:c>
      <x:c r="Q73" s="2" t="str">
        <x:v>minhtd</x:v>
      </x:c>
      <x:c r="R73" s="4" t="d">
        <x:v>2026-11-27T00:00:00.000Z</x:v>
      </x:c>
      <x:c r="S73" s="17" t="str">
        <x:v>Complete = FE + API + business rules + authorization + unit tests + peer review + passed integration + synchronized documentation.</x:v>
      </x:c>
      <x:c r="T73" s="2" t="str">
        <x:v>UC-57</x:v>
      </x:c>
      <x:c r="U73" s="2" t="str">
        <x:v>danghh</x:v>
      </x:c>
      <x:c r="V73" s="4" t="d">
        <x:v>2026-11-09T00:00:00.000Z</x:v>
      </x:c>
      <x:c r="W73" s="4" t="d">
        <x:v>2026-11-13T00:00:00.000Z</x:v>
      </x:c>
      <x:c r="X73" s="22" t="n">
        <x:v>0</x:v>
      </x:c>
      <x:c r="Y73" s="23"/>
      <x:c r="Z73" s="17" t="str">
        <x:v>UC-13; UC-30; UC-33; reservation contracts</x:v>
      </x:c>
      <x:c r="AA73" s="2" t="str">
        <x:v>ACTIVE</x:v>
      </x:c>
      <x:c r="AB73" s="23" t="n">
        <x:v>0</x:v>
      </x:c>
      <x:c r="AC73" s="23" t="n">
        <x:v>0</x:v>
      </x:c>
      <x:c r="AD73" s="23" t="n">
        <x:v>0.25</x:v>
      </x:c>
      <x:c r="AE73" s="23" t="n">
        <x:v>0</x:v>
      </x:c>
      <x:c r="AF73" s="23" t="n">
        <x:v>0</x:v>
      </x:c>
      <x:c r="AG73" s="2" t="str">
        <x:f>IF(AA73="RETIRED","Excluded",IF(AA73="ACTIVE",IF(AND(I73="Complete",J73="Reviewed",M73="Ready",P73="Passed",X73=1),"Accepted","Pending"),IF(AND(I73="Complete",J73="Reviewed"),"Done","Pending")))</x:f>
        <x:v>Pending</x:v>
      </x:c>
      <x:c r="AH73" s="2" t="str">
        <x:f>IF(AA73="RETIRED","Excluded",IF(OR(AG73="Accepted",AG73="Done"),"Done",IF(ISNUMBER(W73),IF(W73&lt;$N$3,"Overdue","Planned"),"Verify baseline")))</x:f>
        <x:v>Planned</x:v>
      </x:c>
    </x:row>
    <x:row r="74" ht="48" customHeight="1">
      <x:c r="A74" s="17" t="str">
        <x:v>UC-58 · Post Goods Issue</x:v>
      </x:c>
      <x:c r="B74" s="2" t="str">
        <x:v>FE-06</x:v>
      </x:c>
      <x:c r="C74" s="17" t="str">
        <x:v>danghh · Customer, sales order and goods issue</x:v>
      </x:c>
      <x:c r="D74" s="2" t="str">
        <x:v>Use case</x:v>
      </x:c>
      <x:c r="E74" s="17" t="str">
        <x:v>Warehouse creates/updates GI-S draft before picking, then posts actual confirmed handover once. Draft changes no stock; PGI does not itself mean DELIVERED/COMPLETED.</x:v>
      </x:c>
      <x:c r="F74" s="2" t="str">
        <x:v>Complex</x:v>
      </x:c>
      <x:c r="G74" s="13" t="n">
        <x:f>SUM(AB74:AF74)</x:f>
        <x:v>1.5</x:v>
      </x:c>
      <x:c r="H74" s="2" t="str">
        <x:v>Iteration 2</x:v>
      </x:c>
      <x:c r="I74" s="21" t="str">
        <x:v>To Do</x:v>
      </x:c>
      <x:c r="J74" s="21" t="str">
        <x:v>Review due</x:v>
      </x:c>
      <x:c r="K74" s="2" t="str">
        <x:v>danghh</x:v>
      </x:c>
      <x:c r="L74" s="4" t="d">
        <x:v>2026-11-27T00:00:00.000Z</x:v>
      </x:c>
      <x:c r="M74" s="21" t="str">
        <x:v>To Do</x:v>
      </x:c>
      <x:c r="N74" s="2" t="str">
        <x:v>minhtd</x:v>
      </x:c>
      <x:c r="O74" s="4" t="d">
        <x:v>2026-11-27T00:00:00.000Z</x:v>
      </x:c>
      <x:c r="P74" s="21" t="str">
        <x:v>Not Run</x:v>
      </x:c>
      <x:c r="Q74" s="2" t="str">
        <x:v>minhtd</x:v>
      </x:c>
      <x:c r="R74" s="4" t="d">
        <x:v>2026-11-27T00:00:00.000Z</x:v>
      </x:c>
      <x:c r="S74" s="17" t="str">
        <x:v>Complete = FE + API + business rules + authorization + unit tests + peer review + passed integration + synchronized documentation.</x:v>
      </x:c>
      <x:c r="T74" s="2" t="str">
        <x:v>UC-58</x:v>
      </x:c>
      <x:c r="U74" s="2" t="str">
        <x:v>danghh</x:v>
      </x:c>
      <x:c r="V74" s="4" t="d">
        <x:v>2026-11-09T00:00:00.000Z</x:v>
      </x:c>
      <x:c r="W74" s="4" t="d">
        <x:v>2026-11-13T00:00:00.000Z</x:v>
      </x:c>
      <x:c r="X74" s="22" t="n">
        <x:v>0</x:v>
      </x:c>
      <x:c r="Y74" s="23"/>
      <x:c r="Z74" s="17" t="str">
        <x:v>UC-13; UC-30; UC-33; reservation contracts</x:v>
      </x:c>
      <x:c r="AA74" s="2" t="str">
        <x:v>ACTIVE</x:v>
      </x:c>
      <x:c r="AB74" s="23" t="n">
        <x:v>0</x:v>
      </x:c>
      <x:c r="AC74" s="23" t="n">
        <x:v>0</x:v>
      </x:c>
      <x:c r="AD74" s="23" t="n">
        <x:v>1.5</x:v>
      </x:c>
      <x:c r="AE74" s="23" t="n">
        <x:v>0</x:v>
      </x:c>
      <x:c r="AF74" s="23" t="n">
        <x:v>0</x:v>
      </x:c>
      <x:c r="AG74" s="2" t="str">
        <x:f>IF(AA74="RETIRED","Excluded",IF(AA74="ACTIVE",IF(AND(I74="Complete",J74="Reviewed",M74="Ready",P74="Passed",X74=1),"Accepted","Pending"),IF(AND(I74="Complete",J74="Reviewed"),"Done","Pending")))</x:f>
        <x:v>Pending</x:v>
      </x:c>
      <x:c r="AH74" s="2" t="str">
        <x:f>IF(AA74="RETIRED","Excluded",IF(OR(AG74="Accepted",AG74="Done"),"Done",IF(ISNUMBER(W74),IF(W74&lt;$N$3,"Overdue","Planned"),"Verify baseline")))</x:f>
        <x:v>Planned</x:v>
      </x:c>
    </x:row>
    <x:row r="75" ht="43" customHeight="1">
      <x:c r="A75" s="17" t="str">
        <x:v>UC-59 · View Internal Invoice List</x:v>
      </x:c>
      <x:c r="B75" s="2" t="str">
        <x:v>FE-06</x:v>
      </x:c>
      <x:c r="C75" s="17" t="str">
        <x:v>Retired history</x:v>
      </x:c>
      <x:c r="D75" s="2" t="str">
        <x:v>Use case</x:v>
      </x:c>
      <x:c r="E75" s="17" t="str">
        <x:v>Historical identifier retained; unavailable in the selected To-be. Commercial invoices remain outside WMSD; warehouse document print belongs to UC-58.</x:v>
      </x:c>
      <x:c r="F75" s="2" t="str">
        <x:v>Simple</x:v>
      </x:c>
      <x:c r="G75" s="13" t="n">
        <x:f>SUM(AB75:AF75)</x:f>
        <x:v>0</x:v>
      </x:c>
      <x:c r="H75" s="2" t="str">
        <x:v>Excluded</x:v>
      </x:c>
      <x:c r="I75" s="21" t="str">
        <x:v>Retired</x:v>
      </x:c>
      <x:c r="J75" s="21" t="str">
        <x:v>Retired</x:v>
      </x:c>
      <x:c r="K75" s="2"/>
      <x:c r="L75" s="4"/>
      <x:c r="M75" s="21" t="str">
        <x:v>N/A</x:v>
      </x:c>
      <x:c r="N75" s="2"/>
      <x:c r="O75" s="4"/>
      <x:c r="P75" s="21" t="str">
        <x:v>N/A</x:v>
      </x:c>
      <x:c r="Q75" s="2"/>
      <x:c r="R75" s="4"/>
      <x:c r="S75" s="17" t="str">
        <x:v>Historical ID only; no active route, permission, screen action or delivery effort.</x:v>
      </x:c>
      <x:c r="T75" s="2" t="str">
        <x:v>UC-59</x:v>
      </x:c>
      <x:c r="U75" s="2"/>
      <x:c r="V75" s="4"/>
      <x:c r="W75" s="4" t="d">
        <x:v>2026-11-13T00:00:00.000Z</x:v>
      </x:c>
      <x:c r="X75" s="22"/>
      <x:c r="Y75" s="23"/>
      <x:c r="Z75" s="17" t="str">
        <x:v>UC-13; UC-30; UC-33; reservation contracts</x:v>
      </x:c>
      <x:c r="AA75" s="2" t="str">
        <x:v>RETIRED</x:v>
      </x:c>
      <x:c r="AB75" s="23" t="n">
        <x:v>0</x:v>
      </x:c>
      <x:c r="AC75" s="23" t="n">
        <x:v>0</x:v>
      </x:c>
      <x:c r="AD75" s="23" t="n">
        <x:v>0</x:v>
      </x:c>
      <x:c r="AE75" s="23" t="n">
        <x:v>0</x:v>
      </x:c>
      <x:c r="AF75" s="23" t="n">
        <x:v>0</x:v>
      </x:c>
      <x:c r="AG75" s="2" t="str">
        <x:f>IF(AA75="RETIRED","Excluded",IF(AA75="ACTIVE",IF(AND(I75="Complete",J75="Reviewed",M75="Ready",P75="Passed",X75=1),"Accepted","Pending"),IF(AND(I75="Complete",J75="Reviewed"),"Done","Pending")))</x:f>
        <x:v>Excluded</x:v>
      </x:c>
      <x:c r="AH75" s="2" t="str">
        <x:f>IF(AA75="RETIRED","Excluded",IF(OR(AG75="Accepted",AG75="Done"),"Done",IF(ISNUMBER(W75),IF(W75&lt;$N$3,"Overdue","Planned"),"Verify baseline")))</x:f>
        <x:v>Excluded</x:v>
      </x:c>
    </x:row>
    <x:row r="76" ht="43" customHeight="1">
      <x:c r="A76" s="17" t="str">
        <x:v>UC-60 · View Internal Invoice Details</x:v>
      </x:c>
      <x:c r="B76" s="2" t="str">
        <x:v>FE-06</x:v>
      </x:c>
      <x:c r="C76" s="17" t="str">
        <x:v>Retired history</x:v>
      </x:c>
      <x:c r="D76" s="2" t="str">
        <x:v>Use case</x:v>
      </x:c>
      <x:c r="E76" s="17" t="str">
        <x:v>Historical identifier retained; unavailable in the selected To-be. Commercial invoices remain outside WMSD; warehouse document print belongs to UC-58.</x:v>
      </x:c>
      <x:c r="F76" s="2" t="str">
        <x:v>Simple</x:v>
      </x:c>
      <x:c r="G76" s="13" t="n">
        <x:f>SUM(AB76:AF76)</x:f>
        <x:v>0</x:v>
      </x:c>
      <x:c r="H76" s="2" t="str">
        <x:v>Excluded</x:v>
      </x:c>
      <x:c r="I76" s="21" t="str">
        <x:v>Retired</x:v>
      </x:c>
      <x:c r="J76" s="21" t="str">
        <x:v>Retired</x:v>
      </x:c>
      <x:c r="K76" s="2"/>
      <x:c r="L76" s="4"/>
      <x:c r="M76" s="21" t="str">
        <x:v>N/A</x:v>
      </x:c>
      <x:c r="N76" s="2"/>
      <x:c r="O76" s="4"/>
      <x:c r="P76" s="21" t="str">
        <x:v>N/A</x:v>
      </x:c>
      <x:c r="Q76" s="2"/>
      <x:c r="R76" s="4"/>
      <x:c r="S76" s="17" t="str">
        <x:v>Historical ID only; no active route, permission, screen action or delivery effort.</x:v>
      </x:c>
      <x:c r="T76" s="2" t="str">
        <x:v>UC-60</x:v>
      </x:c>
      <x:c r="U76" s="2"/>
      <x:c r="V76" s="4"/>
      <x:c r="W76" s="4" t="d">
        <x:v>2026-11-13T00:00:00.000Z</x:v>
      </x:c>
      <x:c r="X76" s="22"/>
      <x:c r="Y76" s="23"/>
      <x:c r="Z76" s="17" t="str">
        <x:v>UC-13; UC-30; UC-33; reservation contracts</x:v>
      </x:c>
      <x:c r="AA76" s="2" t="str">
        <x:v>RETIRED</x:v>
      </x:c>
      <x:c r="AB76" s="23" t="n">
        <x:v>0</x:v>
      </x:c>
      <x:c r="AC76" s="23" t="n">
        <x:v>0</x:v>
      </x:c>
      <x:c r="AD76" s="23" t="n">
        <x:v>0</x:v>
      </x:c>
      <x:c r="AE76" s="23" t="n">
        <x:v>0</x:v>
      </x:c>
      <x:c r="AF76" s="23" t="n">
        <x:v>0</x:v>
      </x:c>
      <x:c r="AG76" s="2" t="str">
        <x:f>IF(AA76="RETIRED","Excluded",IF(AA76="ACTIVE",IF(AND(I76="Complete",J76="Reviewed",M76="Ready",P76="Passed",X76=1),"Accepted","Pending"),IF(AND(I76="Complete",J76="Reviewed"),"Done","Pending")))</x:f>
        <x:v>Excluded</x:v>
      </x:c>
      <x:c r="AH76" s="2" t="str">
        <x:f>IF(AA76="RETIRED","Excluded",IF(OR(AG76="Accepted",AG76="Done"),"Done",IF(ISNUMBER(W76),IF(W76&lt;$N$3,"Overdue","Planned"),"Verify baseline")))</x:f>
        <x:v>Excluded</x:v>
      </x:c>
    </x:row>
    <x:row r="77" ht="43" customHeight="1">
      <x:c r="A77" s="17" t="str">
        <x:v>UC-61 · Create Internal Invoice</x:v>
      </x:c>
      <x:c r="B77" s="2" t="str">
        <x:v>FE-06</x:v>
      </x:c>
      <x:c r="C77" s="17" t="str">
        <x:v>Retired history</x:v>
      </x:c>
      <x:c r="D77" s="2" t="str">
        <x:v>Use case</x:v>
      </x:c>
      <x:c r="E77" s="17" t="str">
        <x:v>Historical identifier retained; unavailable in the selected To-be. Commercial invoices remain outside WMSD; warehouse document print belongs to UC-58.</x:v>
      </x:c>
      <x:c r="F77" s="2" t="str">
        <x:v>Simple</x:v>
      </x:c>
      <x:c r="G77" s="13" t="n">
        <x:f>SUM(AB77:AF77)</x:f>
        <x:v>0</x:v>
      </x:c>
      <x:c r="H77" s="2" t="str">
        <x:v>Excluded</x:v>
      </x:c>
      <x:c r="I77" s="21" t="str">
        <x:v>Retired</x:v>
      </x:c>
      <x:c r="J77" s="21" t="str">
        <x:v>Retired</x:v>
      </x:c>
      <x:c r="K77" s="2"/>
      <x:c r="L77" s="4"/>
      <x:c r="M77" s="21" t="str">
        <x:v>N/A</x:v>
      </x:c>
      <x:c r="N77" s="2"/>
      <x:c r="O77" s="4"/>
      <x:c r="P77" s="21" t="str">
        <x:v>N/A</x:v>
      </x:c>
      <x:c r="Q77" s="2"/>
      <x:c r="R77" s="4"/>
      <x:c r="S77" s="17" t="str">
        <x:v>Historical ID only; no active route, permission, screen action or delivery effort.</x:v>
      </x:c>
      <x:c r="T77" s="2" t="str">
        <x:v>UC-61</x:v>
      </x:c>
      <x:c r="U77" s="2"/>
      <x:c r="V77" s="4"/>
      <x:c r="W77" s="4" t="d">
        <x:v>2026-11-13T00:00:00.000Z</x:v>
      </x:c>
      <x:c r="X77" s="22"/>
      <x:c r="Y77" s="23"/>
      <x:c r="Z77" s="17" t="str">
        <x:v>UC-13; UC-30; UC-33; reservation contracts</x:v>
      </x:c>
      <x:c r="AA77" s="2" t="str">
        <x:v>RETIRED</x:v>
      </x:c>
      <x:c r="AB77" s="23" t="n">
        <x:v>0</x:v>
      </x:c>
      <x:c r="AC77" s="23" t="n">
        <x:v>0</x:v>
      </x:c>
      <x:c r="AD77" s="23" t="n">
        <x:v>0</x:v>
      </x:c>
      <x:c r="AE77" s="23" t="n">
        <x:v>0</x:v>
      </x:c>
      <x:c r="AF77" s="23" t="n">
        <x:v>0</x:v>
      </x:c>
      <x:c r="AG77" s="2" t="str">
        <x:f>IF(AA77="RETIRED","Excluded",IF(AA77="ACTIVE",IF(AND(I77="Complete",J77="Reviewed",M77="Ready",P77="Passed",X77=1),"Accepted","Pending"),IF(AND(I77="Complete",J77="Reviewed"),"Done","Pending")))</x:f>
        <x:v>Excluded</x:v>
      </x:c>
      <x:c r="AH77" s="2" t="str">
        <x:f>IF(AA77="RETIRED","Excluded",IF(OR(AG77="Accepted",AG77="Done"),"Done",IF(ISNUMBER(W77),IF(W77&lt;$N$3,"Overdue","Planned"),"Verify baseline")))</x:f>
        <x:v>Excluded</x:v>
      </x:c>
    </x:row>
    <x:row r="78" ht="43" customHeight="1">
      <x:c r="A78" s="17" t="str">
        <x:v>UC-62 · Issue Internal Invoice and Produce PDF</x:v>
      </x:c>
      <x:c r="B78" s="2" t="str">
        <x:v>FE-06</x:v>
      </x:c>
      <x:c r="C78" s="17" t="str">
        <x:v>Retired history</x:v>
      </x:c>
      <x:c r="D78" s="2" t="str">
        <x:v>Use case</x:v>
      </x:c>
      <x:c r="E78" s="17" t="str">
        <x:v>Historical identifier retained; unavailable in the selected To-be. Commercial invoices remain outside WMSD; warehouse document print belongs to UC-58.</x:v>
      </x:c>
      <x:c r="F78" s="2" t="str">
        <x:v>Simple</x:v>
      </x:c>
      <x:c r="G78" s="13" t="n">
        <x:f>SUM(AB78:AF78)</x:f>
        <x:v>0</x:v>
      </x:c>
      <x:c r="H78" s="2" t="str">
        <x:v>Excluded</x:v>
      </x:c>
      <x:c r="I78" s="21" t="str">
        <x:v>Retired</x:v>
      </x:c>
      <x:c r="J78" s="21" t="str">
        <x:v>Retired</x:v>
      </x:c>
      <x:c r="K78" s="2"/>
      <x:c r="L78" s="4"/>
      <x:c r="M78" s="21" t="str">
        <x:v>N/A</x:v>
      </x:c>
      <x:c r="N78" s="2"/>
      <x:c r="O78" s="4"/>
      <x:c r="P78" s="21" t="str">
        <x:v>N/A</x:v>
      </x:c>
      <x:c r="Q78" s="2"/>
      <x:c r="R78" s="4"/>
      <x:c r="S78" s="17" t="str">
        <x:v>Historical ID only; no active route, permission, screen action or delivery effort.</x:v>
      </x:c>
      <x:c r="T78" s="2" t="str">
        <x:v>UC-62</x:v>
      </x:c>
      <x:c r="U78" s="2"/>
      <x:c r="V78" s="4"/>
      <x:c r="W78" s="4" t="d">
        <x:v>2026-11-13T00:00:00.000Z</x:v>
      </x:c>
      <x:c r="X78" s="22"/>
      <x:c r="Y78" s="23"/>
      <x:c r="Z78" s="17" t="str">
        <x:v>UC-13; UC-30; UC-33; reservation contracts</x:v>
      </x:c>
      <x:c r="AA78" s="2" t="str">
        <x:v>RETIRED</x:v>
      </x:c>
      <x:c r="AB78" s="23" t="n">
        <x:v>0</x:v>
      </x:c>
      <x:c r="AC78" s="23" t="n">
        <x:v>0</x:v>
      </x:c>
      <x:c r="AD78" s="23" t="n">
        <x:v>0</x:v>
      </x:c>
      <x:c r="AE78" s="23" t="n">
        <x:v>0</x:v>
      </x:c>
      <x:c r="AF78" s="23" t="n">
        <x:v>0</x:v>
      </x:c>
      <x:c r="AG78" s="2" t="str">
        <x:f>IF(AA78="RETIRED","Excluded",IF(AA78="ACTIVE",IF(AND(I78="Complete",J78="Reviewed",M78="Ready",P78="Passed",X78=1),"Accepted","Pending"),IF(AND(I78="Complete",J78="Reviewed"),"Done","Pending")))</x:f>
        <x:v>Excluded</x:v>
      </x:c>
      <x:c r="AH78" s="2" t="str">
        <x:f>IF(AA78="RETIRED","Excluded",IF(OR(AG78="Accepted",AG78="Done"),"Done",IF(ISNUMBER(W78),IF(W78&lt;$N$3,"Overdue","Planned"),"Verify baseline")))</x:f>
        <x:v>Excluded</x:v>
      </x:c>
    </x:row>
    <x:row r="79" ht="43" customHeight="1">
      <x:c r="A79" s="17" t="str">
        <x:v>UC-63 · View defective goods list</x:v>
      </x:c>
      <x:c r="B79" s="2" t="str">
        <x:v>FE-07</x:v>
      </x:c>
      <x:c r="C79" s="17" t="str">
        <x:v>trungph · Defects, customer and supplier returns</x:v>
      </x:c>
      <x:c r="D79" s="2" t="str">
        <x:v>Use case</x:v>
      </x:c>
      <x:c r="E79" s="17" t="str">
        <x:v>Filter defect cases by source, product/lot/location, ownership, evidence, unresolved quantity and disposition.</x:v>
      </x:c>
      <x:c r="F79" s="2" t="str">
        <x:v>Simple</x:v>
      </x:c>
      <x:c r="G79" s="13" t="n">
        <x:f>SUM(AB79:AF79)</x:f>
        <x:v>0.25</x:v>
      </x:c>
      <x:c r="H79" s="2" t="str">
        <x:v>Iteration 1</x:v>
      </x:c>
      <x:c r="I79" s="21" t="str">
        <x:v>To Do</x:v>
      </x:c>
      <x:c r="J79" s="21" t="str">
        <x:v>Review due</x:v>
      </x:c>
      <x:c r="K79" s="2" t="str">
        <x:v>trungph</x:v>
      </x:c>
      <x:c r="L79" s="4" t="d">
        <x:v>2026-11-27T00:00:00.000Z</x:v>
      </x:c>
      <x:c r="M79" s="21" t="str">
        <x:v>To Do</x:v>
      </x:c>
      <x:c r="N79" s="2" t="str">
        <x:v>danghh</x:v>
      </x:c>
      <x:c r="O79" s="4" t="d">
        <x:v>2026-11-27T00:00:00.000Z</x:v>
      </x:c>
      <x:c r="P79" s="21" t="str">
        <x:v>Not Run</x:v>
      </x:c>
      <x:c r="Q79" s="2" t="str">
        <x:v>danghh</x:v>
      </x:c>
      <x:c r="R79" s="4" t="d">
        <x:v>2026-11-27T00:00:00.000Z</x:v>
      </x:c>
      <x:c r="S79" s="17" t="str">
        <x:v>Complete = FE + API + business rules + authorization + unit tests + peer review + passed integration + synchronized documentation.</x:v>
      </x:c>
      <x:c r="T79" s="2" t="str">
        <x:v>UC-63</x:v>
      </x:c>
      <x:c r="U79" s="2" t="str">
        <x:v>trungph</x:v>
      </x:c>
      <x:c r="V79" s="4" t="d">
        <x:v>2026-10-26T00:00:00.000Z</x:v>
      </x:c>
      <x:c r="W79" s="4" t="d">
        <x:v>2026-10-30T00:00:00.000Z</x:v>
      </x:c>
      <x:c r="X79" s="22" t="n">
        <x:v>0</x:v>
      </x:c>
      <x:c r="Y79" s="23"/>
      <x:c r="Z79" s="17" t="str">
        <x:v>CORE-01; shared contracts</x:v>
      </x:c>
      <x:c r="AA79" s="2" t="str">
        <x:v>ACTIVE</x:v>
      </x:c>
      <x:c r="AB79" s="23" t="n">
        <x:v>0.25</x:v>
      </x:c>
      <x:c r="AC79" s="23" t="n">
        <x:v>0</x:v>
      </x:c>
      <x:c r="AD79" s="23" t="n">
        <x:v>0</x:v>
      </x:c>
      <x:c r="AE79" s="23" t="n">
        <x:v>0</x:v>
      </x:c>
      <x:c r="AF79" s="23" t="n">
        <x:v>0</x:v>
      </x:c>
      <x:c r="AG79" s="2" t="str">
        <x:f>IF(AA79="RETIRED","Excluded",IF(AA79="ACTIVE",IF(AND(I79="Complete",J79="Reviewed",M79="Ready",P79="Passed",X79=1),"Accepted","Pending"),IF(AND(I79="Complete",J79="Reviewed"),"Done","Pending")))</x:f>
        <x:v>Pending</x:v>
      </x:c>
      <x:c r="AH79" s="2" t="str">
        <x:f>IF(AA79="RETIRED","Excluded",IF(OR(AG79="Accepted",AG79="Done"),"Done",IF(ISNUMBER(W79),IF(W79&lt;$N$3,"Overdue","Planned"),"Verify baseline")))</x:f>
        <x:v>Planned</x:v>
      </x:c>
    </x:row>
    <x:row r="80" ht="43" customHeight="1">
      <x:c r="A80" s="17" t="str">
        <x:v>UC-64 · View defective goods details</x:v>
      </x:c>
      <x:c r="B80" s="2" t="str">
        <x:v>FE-07</x:v>
      </x:c>
      <x:c r="C80" s="17" t="str">
        <x:v>trungph · Defects, customer and supplier returns</x:v>
      </x:c>
      <x:c r="D80" s="2" t="str">
        <x:v>Use case</x:v>
      </x:c>
      <x:c r="E80" s="17" t="str">
        <x:v>Show affected quantity, ownership/custody, inspector, evidence, approval and related outcomes; no duplicate deduction across cases.</x:v>
      </x:c>
      <x:c r="F80" s="2" t="str">
        <x:v>Simple</x:v>
      </x:c>
      <x:c r="G80" s="13" t="n">
        <x:f>SUM(AB80:AF80)</x:f>
        <x:v>0.25</x:v>
      </x:c>
      <x:c r="H80" s="2" t="str">
        <x:v>Iteration 1</x:v>
      </x:c>
      <x:c r="I80" s="21" t="str">
        <x:v>To Do</x:v>
      </x:c>
      <x:c r="J80" s="21" t="str">
        <x:v>Review due</x:v>
      </x:c>
      <x:c r="K80" s="2" t="str">
        <x:v>trungph</x:v>
      </x:c>
      <x:c r="L80" s="4" t="d">
        <x:v>2026-11-27T00:00:00.000Z</x:v>
      </x:c>
      <x:c r="M80" s="21" t="str">
        <x:v>To Do</x:v>
      </x:c>
      <x:c r="N80" s="2" t="str">
        <x:v>danghh</x:v>
      </x:c>
      <x:c r="O80" s="4" t="d">
        <x:v>2026-11-27T00:00:00.000Z</x:v>
      </x:c>
      <x:c r="P80" s="21" t="str">
        <x:v>Not Run</x:v>
      </x:c>
      <x:c r="Q80" s="2" t="str">
        <x:v>danghh</x:v>
      </x:c>
      <x:c r="R80" s="4" t="d">
        <x:v>2026-11-27T00:00:00.000Z</x:v>
      </x:c>
      <x:c r="S80" s="17" t="str">
        <x:v>Complete = FE + API + business rules + authorization + unit tests + peer review + passed integration + synchronized documentation.</x:v>
      </x:c>
      <x:c r="T80" s="2" t="str">
        <x:v>UC-64</x:v>
      </x:c>
      <x:c r="U80" s="2" t="str">
        <x:v>trungph</x:v>
      </x:c>
      <x:c r="V80" s="4" t="d">
        <x:v>2026-10-26T00:00:00.000Z</x:v>
      </x:c>
      <x:c r="W80" s="4" t="d">
        <x:v>2026-10-30T00:00:00.000Z</x:v>
      </x:c>
      <x:c r="X80" s="22" t="n">
        <x:v>0</x:v>
      </x:c>
      <x:c r="Y80" s="23"/>
      <x:c r="Z80" s="17" t="str">
        <x:v>CORE-01; shared contracts</x:v>
      </x:c>
      <x:c r="AA80" s="2" t="str">
        <x:v>ACTIVE</x:v>
      </x:c>
      <x:c r="AB80" s="23" t="n">
        <x:v>0.25</x:v>
      </x:c>
      <x:c r="AC80" s="23" t="n">
        <x:v>0</x:v>
      </x:c>
      <x:c r="AD80" s="23" t="n">
        <x:v>0</x:v>
      </x:c>
      <x:c r="AE80" s="23" t="n">
        <x:v>0</x:v>
      </x:c>
      <x:c r="AF80" s="23" t="n">
        <x:v>0</x:v>
      </x:c>
      <x:c r="AG80" s="2" t="str">
        <x:f>IF(AA80="RETIRED","Excluded",IF(AA80="ACTIVE",IF(AND(I80="Complete",J80="Reviewed",M80="Ready",P80="Passed",X80=1),"Accepted","Pending"),IF(AND(I80="Complete",J80="Reviewed"),"Done","Pending")))</x:f>
        <x:v>Pending</x:v>
      </x:c>
      <x:c r="AH80" s="2" t="str">
        <x:f>IF(AA80="RETIRED","Excluded",IF(OR(AG80="Accepted",AG80="Done"),"Done",IF(ISNUMBER(W80),IF(W80&lt;$N$3,"Overdue","Planned"),"Verify baseline")))</x:f>
        <x:v>Planned</x:v>
      </x:c>
    </x:row>
    <x:row r="81" ht="48" customHeight="1">
      <x:c r="A81" s="17" t="str">
        <x:v>UC-65 · Inspect Defective Goods and Submit Disposition</x:v>
      </x:c>
      <x:c r="B81" s="2" t="str">
        <x:v>FE-07</x:v>
      </x:c>
      <x:c r="C81" s="17" t="str">
        <x:v>trungph · Defects, customer and supplier returns</x:v>
      </x:c>
      <x:c r="D81" s="2" t="str">
        <x:v>Use case</x:v>
      </x:c>
      <x:c r="E81" s="17" t="str">
        <x:v>Warehouse immediately blocks suspect stock and records evidence; within B1 freeze record balance-neutral defect_hold without ordinary quality/location posting.</x:v>
      </x:c>
      <x:c r="F81" s="2" t="str">
        <x:v>Complex</x:v>
      </x:c>
      <x:c r="G81" s="13" t="n">
        <x:f>SUM(AB81:AF81)</x:f>
        <x:v>1.5</x:v>
      </x:c>
      <x:c r="H81" s="2" t="str">
        <x:v>Iteration 1</x:v>
      </x:c>
      <x:c r="I81" s="21" t="str">
        <x:v>To Do</x:v>
      </x:c>
      <x:c r="J81" s="21" t="str">
        <x:v>Review due</x:v>
      </x:c>
      <x:c r="K81" s="2" t="str">
        <x:v>trungph</x:v>
      </x:c>
      <x:c r="L81" s="4" t="d">
        <x:v>2026-11-27T00:00:00.000Z</x:v>
      </x:c>
      <x:c r="M81" s="21" t="str">
        <x:v>To Do</x:v>
      </x:c>
      <x:c r="N81" s="2" t="str">
        <x:v>danghh</x:v>
      </x:c>
      <x:c r="O81" s="4" t="d">
        <x:v>2026-11-27T00:00:00.000Z</x:v>
      </x:c>
      <x:c r="P81" s="21" t="str">
        <x:v>Not Run</x:v>
      </x:c>
      <x:c r="Q81" s="2" t="str">
        <x:v>danghh</x:v>
      </x:c>
      <x:c r="R81" s="4" t="d">
        <x:v>2026-11-27T00:00:00.000Z</x:v>
      </x:c>
      <x:c r="S81" s="17" t="str">
        <x:v>Complete = FE + API + business rules + authorization + unit tests + peer review + passed integration + synchronized documentation.</x:v>
      </x:c>
      <x:c r="T81" s="2" t="str">
        <x:v>UC-65</x:v>
      </x:c>
      <x:c r="U81" s="2" t="str">
        <x:v>trungph</x:v>
      </x:c>
      <x:c r="V81" s="4" t="d">
        <x:v>2026-10-26T00:00:00.000Z</x:v>
      </x:c>
      <x:c r="W81" s="4" t="d">
        <x:v>2026-10-30T00:00:00.000Z</x:v>
      </x:c>
      <x:c r="X81" s="22" t="n">
        <x:v>0</x:v>
      </x:c>
      <x:c r="Y81" s="23"/>
      <x:c r="Z81" s="17" t="str">
        <x:v>UC-26; UC-58; shared stock/source contracts</x:v>
      </x:c>
      <x:c r="AA81" s="2" t="str">
        <x:v>ACTIVE</x:v>
      </x:c>
      <x:c r="AB81" s="23" t="n">
        <x:v>1.5</x:v>
      </x:c>
      <x:c r="AC81" s="23" t="n">
        <x:v>0</x:v>
      </x:c>
      <x:c r="AD81" s="23" t="n">
        <x:v>0</x:v>
      </x:c>
      <x:c r="AE81" s="23" t="n">
        <x:v>0</x:v>
      </x:c>
      <x:c r="AF81" s="23" t="n">
        <x:v>0</x:v>
      </x:c>
      <x:c r="AG81" s="2" t="str">
        <x:f>IF(AA81="RETIRED","Excluded",IF(AA81="ACTIVE",IF(AND(I81="Complete",J81="Reviewed",M81="Ready",P81="Passed",X81=1),"Accepted","Pending"),IF(AND(I81="Complete",J81="Reviewed"),"Done","Pending")))</x:f>
        <x:v>Pending</x:v>
      </x:c>
      <x:c r="AH81" s="2" t="str">
        <x:f>IF(AA81="RETIRED","Excluded",IF(OR(AG81="Accepted",AG81="Done"),"Done",IF(ISNUMBER(W81),IF(W81&lt;$N$3,"Overdue","Planned"),"Verify baseline")))</x:f>
        <x:v>Planned</x:v>
      </x:c>
    </x:row>
    <x:row r="82" ht="48" customHeight="1">
      <x:c r="A82" s="17" t="str">
        <x:v>UC-66 · Approve or reject defective goods disposition</x:v>
      </x:c>
      <x:c r="B82" s="2" t="str">
        <x:v>FE-07</x:v>
      </x:c>
      <x:c r="C82" s="17" t="str">
        <x:v>trungph · Defects, customer and supplier returns</x:v>
      </x:c>
      <x:c r="D82" s="2" t="str">
        <x:v>Use case</x:v>
      </x:c>
      <x:c r="E82" s="17" t="str">
        <x:v>Owner decides scoped destruction/regrade/release outside stocktake; supplier return uses BF-08 without Owner. B1 quality/location approval is UC-92, not duplicate UC-66.</x:v>
      </x:c>
      <x:c r="F82" s="2" t="str">
        <x:v>Medium</x:v>
      </x:c>
      <x:c r="G82" s="13" t="n">
        <x:f>SUM(AB82:AF82)</x:f>
        <x:v>1</x:v>
      </x:c>
      <x:c r="H82" s="2" t="str">
        <x:v>Iteration 1</x:v>
      </x:c>
      <x:c r="I82" s="21" t="str">
        <x:v>To Do</x:v>
      </x:c>
      <x:c r="J82" s="21" t="str">
        <x:v>Review due</x:v>
      </x:c>
      <x:c r="K82" s="2" t="str">
        <x:v>trungph</x:v>
      </x:c>
      <x:c r="L82" s="4" t="d">
        <x:v>2026-11-27T00:00:00.000Z</x:v>
      </x:c>
      <x:c r="M82" s="21" t="str">
        <x:v>To Do</x:v>
      </x:c>
      <x:c r="N82" s="2" t="str">
        <x:v>danghh</x:v>
      </x:c>
      <x:c r="O82" s="4" t="d">
        <x:v>2026-11-27T00:00:00.000Z</x:v>
      </x:c>
      <x:c r="P82" s="21" t="str">
        <x:v>Not Run</x:v>
      </x:c>
      <x:c r="Q82" s="2" t="str">
        <x:v>danghh</x:v>
      </x:c>
      <x:c r="R82" s="4" t="d">
        <x:v>2026-11-27T00:00:00.000Z</x:v>
      </x:c>
      <x:c r="S82" s="17" t="str">
        <x:v>Complete = FE + API + business rules + authorization + unit tests + peer review + passed integration + synchronized documentation.</x:v>
      </x:c>
      <x:c r="T82" s="2" t="str">
        <x:v>UC-66</x:v>
      </x:c>
      <x:c r="U82" s="2" t="str">
        <x:v>trungph</x:v>
      </x:c>
      <x:c r="V82" s="4" t="d">
        <x:v>2026-10-26T00:00:00.000Z</x:v>
      </x:c>
      <x:c r="W82" s="4" t="d">
        <x:v>2026-10-30T00:00:00.000Z</x:v>
      </x:c>
      <x:c r="X82" s="22" t="n">
        <x:v>0</x:v>
      </x:c>
      <x:c r="Y82" s="23"/>
      <x:c r="Z82" s="17" t="str">
        <x:v>UC-26; UC-58; shared stock/source contracts</x:v>
      </x:c>
      <x:c r="AA82" s="2" t="str">
        <x:v>ACTIVE</x:v>
      </x:c>
      <x:c r="AB82" s="23" t="n">
        <x:v>1</x:v>
      </x:c>
      <x:c r="AC82" s="23" t="n">
        <x:v>0</x:v>
      </x:c>
      <x:c r="AD82" s="23" t="n">
        <x:v>0</x:v>
      </x:c>
      <x:c r="AE82" s="23" t="n">
        <x:v>0</x:v>
      </x:c>
      <x:c r="AF82" s="23" t="n">
        <x:v>0</x:v>
      </x:c>
      <x:c r="AG82" s="2" t="str">
        <x:f>IF(AA82="RETIRED","Excluded",IF(AA82="ACTIVE",IF(AND(I82="Complete",J82="Reviewed",M82="Ready",P82="Passed",X82=1),"Accepted","Pending"),IF(AND(I82="Complete",J82="Reviewed"),"Done","Pending")))</x:f>
        <x:v>Pending</x:v>
      </x:c>
      <x:c r="AH82" s="2" t="str">
        <x:f>IF(AA82="RETIRED","Excluded",IF(OR(AG82="Accepted",AG82="Done"),"Done",IF(ISNUMBER(W82),IF(W82&lt;$N$3,"Overdue","Planned"),"Verify baseline")))</x:f>
        <x:v>Planned</x:v>
      </x:c>
    </x:row>
    <x:row r="83" ht="48" customHeight="1">
      <x:c r="A83" s="17" t="str">
        <x:v>UC-67 · Record approved defective goods disposition</x:v>
      </x:c>
      <x:c r="B83" s="2" t="str">
        <x:v>FE-07</x:v>
      </x:c>
      <x:c r="C83" s="17" t="str">
        <x:v>trungph · Defects, customer and supplier returns</x:v>
      </x:c>
      <x:c r="D83" s="2" t="str">
        <x:v>Use case</x:v>
      </x:c>
      <x:c r="E83" s="17" t="str">
        <x:v>Warehouse executes approved destruction/regrade/release outside freeze. Supplier return deducts only at UC-82; B1 quality/location posts only in UC-93 batch.</x:v>
      </x:c>
      <x:c r="F83" s="2" t="str">
        <x:v>Complex</x:v>
      </x:c>
      <x:c r="G83" s="13" t="n">
        <x:f>SUM(AB83:AF83)</x:f>
        <x:v>1.5</x:v>
      </x:c>
      <x:c r="H83" s="2" t="str">
        <x:v>Iteration 1</x:v>
      </x:c>
      <x:c r="I83" s="21" t="str">
        <x:v>To Do</x:v>
      </x:c>
      <x:c r="J83" s="21" t="str">
        <x:v>Review due</x:v>
      </x:c>
      <x:c r="K83" s="2" t="str">
        <x:v>trungph</x:v>
      </x:c>
      <x:c r="L83" s="4" t="d">
        <x:v>2026-11-27T00:00:00.000Z</x:v>
      </x:c>
      <x:c r="M83" s="21" t="str">
        <x:v>To Do</x:v>
      </x:c>
      <x:c r="N83" s="2" t="str">
        <x:v>danghh</x:v>
      </x:c>
      <x:c r="O83" s="4" t="d">
        <x:v>2026-11-27T00:00:00.000Z</x:v>
      </x:c>
      <x:c r="P83" s="21" t="str">
        <x:v>Not Run</x:v>
      </x:c>
      <x:c r="Q83" s="2" t="str">
        <x:v>danghh</x:v>
      </x:c>
      <x:c r="R83" s="4" t="d">
        <x:v>2026-11-27T00:00:00.000Z</x:v>
      </x:c>
      <x:c r="S83" s="17" t="str">
        <x:v>Complete = FE + API + business rules + authorization + unit tests + peer review + passed integration + synchronized documentation.</x:v>
      </x:c>
      <x:c r="T83" s="2" t="str">
        <x:v>UC-67</x:v>
      </x:c>
      <x:c r="U83" s="2" t="str">
        <x:v>trungph</x:v>
      </x:c>
      <x:c r="V83" s="4" t="d">
        <x:v>2026-10-26T00:00:00.000Z</x:v>
      </x:c>
      <x:c r="W83" s="4" t="d">
        <x:v>2026-11-06T00:00:00.000Z</x:v>
      </x:c>
      <x:c r="X83" s="22" t="n">
        <x:v>0</x:v>
      </x:c>
      <x:c r="Y83" s="23"/>
      <x:c r="Z83" s="17" t="str">
        <x:v>UC-26; UC-58; shared stock/source contracts</x:v>
      </x:c>
      <x:c r="AA83" s="2" t="str">
        <x:v>ACTIVE</x:v>
      </x:c>
      <x:c r="AB83" s="23" t="n">
        <x:v>0.5</x:v>
      </x:c>
      <x:c r="AC83" s="23" t="n">
        <x:v>1</x:v>
      </x:c>
      <x:c r="AD83" s="23" t="n">
        <x:v>0</x:v>
      </x:c>
      <x:c r="AE83" s="23" t="n">
        <x:v>0</x:v>
      </x:c>
      <x:c r="AF83" s="23" t="n">
        <x:v>0</x:v>
      </x:c>
      <x:c r="AG83" s="2" t="str">
        <x:f>IF(AA83="RETIRED","Excluded",IF(AA83="ACTIVE",IF(AND(I83="Complete",J83="Reviewed",M83="Ready",P83="Passed",X83=1),"Accepted","Pending"),IF(AND(I83="Complete",J83="Reviewed"),"Done","Pending")))</x:f>
        <x:v>Pending</x:v>
      </x:c>
      <x:c r="AH83" s="2" t="str">
        <x:f>IF(AA83="RETIRED","Excluded",IF(OR(AG83="Accepted",AG83="Done"),"Done",IF(ISNUMBER(W83),IF(W83&lt;$N$3,"Overdue","Planned"),"Verify baseline")))</x:f>
        <x:v>Planned</x:v>
      </x:c>
    </x:row>
    <x:row r="84" ht="43" customHeight="1">
      <x:c r="A84" s="17" t="str">
        <x:v>UC-68 · View customer return list</x:v>
      </x:c>
      <x:c r="B84" s="2" t="str">
        <x:v>FE-07</x:v>
      </x:c>
      <x:c r="C84" s="17" t="str">
        <x:v>trungph · Defects, customer and supplier returns</x:v>
      </x:c>
      <x:c r="D84" s="2" t="str">
        <x:v>Use case</x:v>
      </x:c>
      <x:c r="E84" s="17" t="str">
        <x:v>Search CR/FD by mode, source, reason and inspection/receipt status.</x:v>
      </x:c>
      <x:c r="F84" s="2" t="str">
        <x:v>Simple</x:v>
      </x:c>
      <x:c r="G84" s="13" t="n">
        <x:f>SUM(AB84:AF84)</x:f>
        <x:v>0.25</x:v>
      </x:c>
      <x:c r="H84" s="2" t="str">
        <x:v>Iteration 1</x:v>
      </x:c>
      <x:c r="I84" s="21" t="str">
        <x:v>To Do</x:v>
      </x:c>
      <x:c r="J84" s="21" t="str">
        <x:v>Review due</x:v>
      </x:c>
      <x:c r="K84" s="2" t="str">
        <x:v>trungph</x:v>
      </x:c>
      <x:c r="L84" s="4" t="d">
        <x:v>2026-11-27T00:00:00.000Z</x:v>
      </x:c>
      <x:c r="M84" s="21" t="str">
        <x:v>To Do</x:v>
      </x:c>
      <x:c r="N84" s="2" t="str">
        <x:v>danghh</x:v>
      </x:c>
      <x:c r="O84" s="4" t="d">
        <x:v>2026-11-27T00:00:00.000Z</x:v>
      </x:c>
      <x:c r="P84" s="21" t="str">
        <x:v>Not Run</x:v>
      </x:c>
      <x:c r="Q84" s="2" t="str">
        <x:v>danghh</x:v>
      </x:c>
      <x:c r="R84" s="4" t="d">
        <x:v>2026-11-27T00:00:00.000Z</x:v>
      </x:c>
      <x:c r="S84" s="17" t="str">
        <x:v>Complete = FE + API + business rules + authorization + unit tests + peer review + passed integration + synchronized documentation.</x:v>
      </x:c>
      <x:c r="T84" s="2" t="str">
        <x:v>UC-68</x:v>
      </x:c>
      <x:c r="U84" s="2" t="str">
        <x:v>trungph</x:v>
      </x:c>
      <x:c r="V84" s="4" t="d">
        <x:v>2026-11-02T00:00:00.000Z</x:v>
      </x:c>
      <x:c r="W84" s="4" t="d">
        <x:v>2026-11-06T00:00:00.000Z</x:v>
      </x:c>
      <x:c r="X84" s="22" t="n">
        <x:v>0</x:v>
      </x:c>
      <x:c r="Y84" s="23"/>
      <x:c r="Z84" s="17" t="str">
        <x:v>UC-26; UC-58; shared stock/source contracts</x:v>
      </x:c>
      <x:c r="AA84" s="2" t="str">
        <x:v>ACTIVE</x:v>
      </x:c>
      <x:c r="AB84" s="23" t="n">
        <x:v>0</x:v>
      </x:c>
      <x:c r="AC84" s="23" t="n">
        <x:v>0.25</x:v>
      </x:c>
      <x:c r="AD84" s="23" t="n">
        <x:v>0</x:v>
      </x:c>
      <x:c r="AE84" s="23" t="n">
        <x:v>0</x:v>
      </x:c>
      <x:c r="AF84" s="23" t="n">
        <x:v>0</x:v>
      </x:c>
      <x:c r="AG84" s="2" t="str">
        <x:f>IF(AA84="RETIRED","Excluded",IF(AA84="ACTIVE",IF(AND(I84="Complete",J84="Reviewed",M84="Ready",P84="Passed",X84=1),"Accepted","Pending"),IF(AND(I84="Complete",J84="Reviewed"),"Done","Pending")))</x:f>
        <x:v>Pending</x:v>
      </x:c>
      <x:c r="AH84" s="2" t="str">
        <x:f>IF(AA84="RETIRED","Excluded",IF(OR(AG84="Accepted",AG84="Done"),"Done",IF(ISNUMBER(W84),IF(W84&lt;$N$3,"Overdue","Planned"),"Verify baseline")))</x:f>
        <x:v>Planned</x:v>
      </x:c>
    </x:row>
    <x:row r="85" ht="48" customHeight="1">
      <x:c r="A85" s="17" t="str">
        <x:v>UC-69 · View customer return details</x:v>
      </x:c>
      <x:c r="B85" s="2" t="str">
        <x:v>FE-07</x:v>
      </x:c>
      <x:c r="C85" s="17" t="str">
        <x:v>trungph · Defects, customer and supplier returns</x:v>
      </x:c>
      <x:c r="D85" s="2" t="str">
        <x:v>Use case</x:v>
      </x:c>
      <x:c r="E85" s="17" t="str">
        <x:v>Show source, custody/ownership, quantity, physical condition, per-line D6 assessment versions/evidence, proper Sales ordinary/Owner exception decision, FD source/receipt/net reopening and external financial-reference status.</x:v>
      </x:c>
      <x:c r="F85" s="2" t="str">
        <x:v>Simple</x:v>
      </x:c>
      <x:c r="G85" s="13" t="n">
        <x:f>SUM(AB85:AF85)</x:f>
        <x:v>0.25</x:v>
      </x:c>
      <x:c r="H85" s="2" t="str">
        <x:v>Iteration 1</x:v>
      </x:c>
      <x:c r="I85" s="21" t="str">
        <x:v>To Do</x:v>
      </x:c>
      <x:c r="J85" s="21" t="str">
        <x:v>Review due</x:v>
      </x:c>
      <x:c r="K85" s="2" t="str">
        <x:v>trungph</x:v>
      </x:c>
      <x:c r="L85" s="4" t="d">
        <x:v>2026-11-27T00:00:00.000Z</x:v>
      </x:c>
      <x:c r="M85" s="21" t="str">
        <x:v>To Do</x:v>
      </x:c>
      <x:c r="N85" s="2" t="str">
        <x:v>danghh</x:v>
      </x:c>
      <x:c r="O85" s="4" t="d">
        <x:v>2026-11-27T00:00:00.000Z</x:v>
      </x:c>
      <x:c r="P85" s="21" t="str">
        <x:v>Not Run</x:v>
      </x:c>
      <x:c r="Q85" s="2" t="str">
        <x:v>danghh</x:v>
      </x:c>
      <x:c r="R85" s="4" t="d">
        <x:v>2026-11-27T00:00:00.000Z</x:v>
      </x:c>
      <x:c r="S85" s="17" t="str">
        <x:v>Complete = FE + API + business rules + authorization + unit tests + peer review + passed integration + synchronized documentation.</x:v>
      </x:c>
      <x:c r="T85" s="2" t="str">
        <x:v>UC-69</x:v>
      </x:c>
      <x:c r="U85" s="2" t="str">
        <x:v>trungph</x:v>
      </x:c>
      <x:c r="V85" s="4" t="d">
        <x:v>2026-11-02T00:00:00.000Z</x:v>
      </x:c>
      <x:c r="W85" s="4" t="d">
        <x:v>2026-11-06T00:00:00.000Z</x:v>
      </x:c>
      <x:c r="X85" s="22" t="n">
        <x:v>0</x:v>
      </x:c>
      <x:c r="Y85" s="23"/>
      <x:c r="Z85" s="17" t="str">
        <x:v>UC-26; UC-58; shared stock/source contracts</x:v>
      </x:c>
      <x:c r="AA85" s="2" t="str">
        <x:v>ACTIVE</x:v>
      </x:c>
      <x:c r="AB85" s="23" t="n">
        <x:v>0</x:v>
      </x:c>
      <x:c r="AC85" s="23" t="n">
        <x:v>0.25</x:v>
      </x:c>
      <x:c r="AD85" s="23" t="n">
        <x:v>0</x:v>
      </x:c>
      <x:c r="AE85" s="23" t="n">
        <x:v>0</x:v>
      </x:c>
      <x:c r="AF85" s="23" t="n">
        <x:v>0</x:v>
      </x:c>
      <x:c r="AG85" s="2" t="str">
        <x:f>IF(AA85="RETIRED","Excluded",IF(AA85="ACTIVE",IF(AND(I85="Complete",J85="Reviewed",M85="Ready",P85="Passed",X85=1),"Accepted","Pending"),IF(AND(I85="Complete",J85="Reviewed"),"Done","Pending")))</x:f>
        <x:v>Pending</x:v>
      </x:c>
      <x:c r="AH85" s="2" t="str">
        <x:f>IF(AA85="RETIRED","Excluded",IF(OR(AG85="Accepted",AG85="Done"),"Done",IF(ISNUMBER(W85),IF(W85&lt;$N$3,"Overdue","Planned"),"Verify baseline")))</x:f>
        <x:v>Planned</x:v>
      </x:c>
    </x:row>
    <x:row r="86" ht="48" customHeight="1">
      <x:c r="A86" s="17" t="str">
        <x:v>UC-70 · Create Customer Return Request</x:v>
      </x:c>
      <x:c r="B86" s="2" t="str">
        <x:v>FE-07</x:v>
      </x:c>
      <x:c r="C86" s="17" t="str">
        <x:v>trungph · Defects, customer and supplier returns</x:v>
      </x:c>
      <x:c r="D86" s="2" t="str">
        <x:v>Use case</x:v>
      </x:c>
      <x:c r="E86" s="17" t="str">
        <x:v>Sales creates commercial CR only against customer-received POD or verified historical delivery, with D6 terms and source caps. FD requires no Sales CR and uses Warehouse UC-72/73.</x:v>
      </x:c>
      <x:c r="F86" s="2" t="str">
        <x:v>Medium</x:v>
      </x:c>
      <x:c r="G86" s="13" t="n">
        <x:f>SUM(AB86:AF86)</x:f>
        <x:v>1</x:v>
      </x:c>
      <x:c r="H86" s="2" t="str">
        <x:v>Iteration 1</x:v>
      </x:c>
      <x:c r="I86" s="21" t="str">
        <x:v>To Do</x:v>
      </x:c>
      <x:c r="J86" s="21" t="str">
        <x:v>Review due</x:v>
      </x:c>
      <x:c r="K86" s="2" t="str">
        <x:v>trungph</x:v>
      </x:c>
      <x:c r="L86" s="4" t="d">
        <x:v>2026-11-27T00:00:00.000Z</x:v>
      </x:c>
      <x:c r="M86" s="21" t="str">
        <x:v>To Do</x:v>
      </x:c>
      <x:c r="N86" s="2" t="str">
        <x:v>danghh</x:v>
      </x:c>
      <x:c r="O86" s="4" t="d">
        <x:v>2026-11-27T00:00:00.000Z</x:v>
      </x:c>
      <x:c r="P86" s="21" t="str">
        <x:v>Not Run</x:v>
      </x:c>
      <x:c r="Q86" s="2" t="str">
        <x:v>danghh</x:v>
      </x:c>
      <x:c r="R86" s="4" t="d">
        <x:v>2026-11-27T00:00:00.000Z</x:v>
      </x:c>
      <x:c r="S86" s="17" t="str">
        <x:v>Complete = FE + API + business rules + authorization + unit tests + peer review + passed integration + synchronized documentation.</x:v>
      </x:c>
      <x:c r="T86" s="2" t="str">
        <x:v>UC-70</x:v>
      </x:c>
      <x:c r="U86" s="2" t="str">
        <x:v>trungph</x:v>
      </x:c>
      <x:c r="V86" s="4" t="d">
        <x:v>2026-11-02T00:00:00.000Z</x:v>
      </x:c>
      <x:c r="W86" s="4" t="d">
        <x:v>2026-11-06T00:00:00.000Z</x:v>
      </x:c>
      <x:c r="X86" s="22" t="n">
        <x:v>0</x:v>
      </x:c>
      <x:c r="Y86" s="23"/>
      <x:c r="Z86" s="17" t="str">
        <x:v>UC-26; UC-58; shared stock/source contracts</x:v>
      </x:c>
      <x:c r="AA86" s="2" t="str">
        <x:v>ACTIVE</x:v>
      </x:c>
      <x:c r="AB86" s="23" t="n">
        <x:v>0</x:v>
      </x:c>
      <x:c r="AC86" s="23" t="n">
        <x:v>1</x:v>
      </x:c>
      <x:c r="AD86" s="23" t="n">
        <x:v>0</x:v>
      </x:c>
      <x:c r="AE86" s="23" t="n">
        <x:v>0</x:v>
      </x:c>
      <x:c r="AF86" s="23" t="n">
        <x:v>0</x:v>
      </x:c>
      <x:c r="AG86" s="2" t="str">
        <x:f>IF(AA86="RETIRED","Excluded",IF(AA86="ACTIVE",IF(AND(I86="Complete",J86="Reviewed",M86="Ready",P86="Passed",X86=1),"Accepted","Pending"),IF(AND(I86="Complete",J86="Reviewed"),"Done","Pending")))</x:f>
        <x:v>Pending</x:v>
      </x:c>
      <x:c r="AH86" s="2" t="str">
        <x:f>IF(AA86="RETIRED","Excluded",IF(OR(AG86="Accepted",AG86="Done"),"Done",IF(ISNUMBER(W86),IF(W86&lt;$N$3,"Overdue","Planned"),"Verify baseline")))</x:f>
        <x:v>Planned</x:v>
      </x:c>
    </x:row>
    <x:row r="87" ht="48" customHeight="1">
      <x:c r="A87" s="17" t="str">
        <x:v>UC-71 · Decide Customer Return Acceptance</x:v>
      </x:c>
      <x:c r="B87" s="2" t="str">
        <x:v>FE-07</x:v>
      </x:c>
      <x:c r="C87" s="17" t="str">
        <x:v>trungph · Defects, customer and supplier returns</x:v>
      </x:c>
      <x:c r="D87" s="2" t="str">
        <x:v>Use case</x:v>
      </x:c>
      <x:c r="E87" s="17" t="str">
        <x:v>C2: Sales accepts/rejects ordinary CR after Warehouse inspection, including own creation. Owner only decides eligible exceptions with distinct requester. Neither overrides D6 exclusions; FD bypasses commercial acceptance.</x:v>
      </x:c>
      <x:c r="F87" s="2" t="str">
        <x:v>Medium</x:v>
      </x:c>
      <x:c r="G87" s="13" t="n">
        <x:f>SUM(AB87:AF87)</x:f>
        <x:v>1</x:v>
      </x:c>
      <x:c r="H87" s="2" t="str">
        <x:v>Iteration 1</x:v>
      </x:c>
      <x:c r="I87" s="21" t="str">
        <x:v>To Do</x:v>
      </x:c>
      <x:c r="J87" s="21" t="str">
        <x:v>Review due</x:v>
      </x:c>
      <x:c r="K87" s="2" t="str">
        <x:v>trungph</x:v>
      </x:c>
      <x:c r="L87" s="4" t="d">
        <x:v>2026-11-27T00:00:00.000Z</x:v>
      </x:c>
      <x:c r="M87" s="21" t="str">
        <x:v>To Do</x:v>
      </x:c>
      <x:c r="N87" s="2" t="str">
        <x:v>danghh</x:v>
      </x:c>
      <x:c r="O87" s="4" t="d">
        <x:v>2026-11-27T00:00:00.000Z</x:v>
      </x:c>
      <x:c r="P87" s="21" t="str">
        <x:v>Not Run</x:v>
      </x:c>
      <x:c r="Q87" s="2" t="str">
        <x:v>danghh</x:v>
      </x:c>
      <x:c r="R87" s="4" t="d">
        <x:v>2026-11-27T00:00:00.000Z</x:v>
      </x:c>
      <x:c r="S87" s="17" t="str">
        <x:v>Complete = FE + API + business rules + authorization + unit tests + peer review + passed integration + synchronized documentation.</x:v>
      </x:c>
      <x:c r="T87" s="2" t="str">
        <x:v>UC-71</x:v>
      </x:c>
      <x:c r="U87" s="2" t="str">
        <x:v>trungph</x:v>
      </x:c>
      <x:c r="V87" s="4" t="d">
        <x:v>2026-11-02T00:00:00.000Z</x:v>
      </x:c>
      <x:c r="W87" s="4" t="d">
        <x:v>2026-11-06T00:00:00.000Z</x:v>
      </x:c>
      <x:c r="X87" s="22" t="n">
        <x:v>0</x:v>
      </x:c>
      <x:c r="Y87" s="23"/>
      <x:c r="Z87" s="17" t="str">
        <x:v>UC-26; UC-58; shared stock/source contracts</x:v>
      </x:c>
      <x:c r="AA87" s="2" t="str">
        <x:v>ACTIVE</x:v>
      </x:c>
      <x:c r="AB87" s="23" t="n">
        <x:v>0</x:v>
      </x:c>
      <x:c r="AC87" s="23" t="n">
        <x:v>1</x:v>
      </x:c>
      <x:c r="AD87" s="23" t="n">
        <x:v>0</x:v>
      </x:c>
      <x:c r="AE87" s="23" t="n">
        <x:v>0</x:v>
      </x:c>
      <x:c r="AF87" s="23" t="n">
        <x:v>0</x:v>
      </x:c>
      <x:c r="AG87" s="2" t="str">
        <x:f>IF(AA87="RETIRED","Excluded",IF(AA87="ACTIVE",IF(AND(I87="Complete",J87="Reviewed",M87="Ready",P87="Passed",X87=1),"Accepted","Pending"),IF(AND(I87="Complete",J87="Reviewed"),"Done","Pending")))</x:f>
        <x:v>Pending</x:v>
      </x:c>
      <x:c r="AH87" s="2" t="str">
        <x:f>IF(AA87="RETIRED","Excluded",IF(OR(AG87="Accepted",AG87="Done"),"Done",IF(ISNUMBER(W87),IF(W87&lt;$N$3,"Overdue","Planned"),"Verify baseline")))</x:f>
        <x:v>Planned</x:v>
      </x:c>
    </x:row>
    <x:row r="88" ht="48" customHeight="1">
      <x:c r="A88" s="17" t="str">
        <x:v>UC-72 · Inspect Return or Failed-Delivery Intake</x:v>
      </x:c>
      <x:c r="B88" s="2" t="str">
        <x:v>FE-07</x:v>
      </x:c>
      <x:c r="C88" s="17" t="str">
        <x:v>trungph · Defects, customer and supplier returns</x:v>
      </x:c>
      <x:c r="D88" s="2" t="str">
        <x:v>Use case</x:v>
      </x:c>
      <x:c r="E88" s="17" t="str">
        <x:v>Warehouse distinguishes CR after customer receipt from FD before receipt. CR records customer custody/D6; FD uses posted GI-S/failure evidence and ARR/INS, without D6, fictitious POD, Owner approval or customer custody.</x:v>
      </x:c>
      <x:c r="F88" s="2" t="str">
        <x:v>Complex</x:v>
      </x:c>
      <x:c r="G88" s="13" t="n">
        <x:f>SUM(AB88:AF88)</x:f>
        <x:v>1.5</x:v>
      </x:c>
      <x:c r="H88" s="2" t="str">
        <x:v>Iteration 2</x:v>
      </x:c>
      <x:c r="I88" s="21" t="str">
        <x:v>To Do</x:v>
      </x:c>
      <x:c r="J88" s="21" t="str">
        <x:v>Review due</x:v>
      </x:c>
      <x:c r="K88" s="2" t="str">
        <x:v>trungph</x:v>
      </x:c>
      <x:c r="L88" s="4" t="d">
        <x:v>2026-11-27T00:00:00.000Z</x:v>
      </x:c>
      <x:c r="M88" s="21" t="str">
        <x:v>To Do</x:v>
      </x:c>
      <x:c r="N88" s="2" t="str">
        <x:v>danghh</x:v>
      </x:c>
      <x:c r="O88" s="4" t="d">
        <x:v>2026-11-27T00:00:00.000Z</x:v>
      </x:c>
      <x:c r="P88" s="21" t="str">
        <x:v>Not Run</x:v>
      </x:c>
      <x:c r="Q88" s="2" t="str">
        <x:v>danghh</x:v>
      </x:c>
      <x:c r="R88" s="4" t="d">
        <x:v>2026-11-27T00:00:00.000Z</x:v>
      </x:c>
      <x:c r="S88" s="17" t="str">
        <x:v>Complete = FE + API + business rules + authorization + unit tests + peer review + passed integration + synchronized documentation.</x:v>
      </x:c>
      <x:c r="T88" s="2" t="str">
        <x:v>UC-72</x:v>
      </x:c>
      <x:c r="U88" s="2" t="str">
        <x:v>trungph</x:v>
      </x:c>
      <x:c r="V88" s="4" t="d">
        <x:v>2026-11-02T00:00:00.000Z</x:v>
      </x:c>
      <x:c r="W88" s="4" t="d">
        <x:v>2026-11-13T00:00:00.000Z</x:v>
      </x:c>
      <x:c r="X88" s="22" t="n">
        <x:v>0</x:v>
      </x:c>
      <x:c r="Y88" s="23"/>
      <x:c r="Z88" s="17" t="str">
        <x:v>UC-26; UC-58; shared stock/source contracts</x:v>
      </x:c>
      <x:c r="AA88" s="2" t="str">
        <x:v>ACTIVE</x:v>
      </x:c>
      <x:c r="AB88" s="23" t="n">
        <x:v>0</x:v>
      </x:c>
      <x:c r="AC88" s="23" t="n">
        <x:v>0.5</x:v>
      </x:c>
      <x:c r="AD88" s="23" t="n">
        <x:v>1</x:v>
      </x:c>
      <x:c r="AE88" s="23" t="n">
        <x:v>0</x:v>
      </x:c>
      <x:c r="AF88" s="23" t="n">
        <x:v>0</x:v>
      </x:c>
      <x:c r="AG88" s="2" t="str">
        <x:f>IF(AA88="RETIRED","Excluded",IF(AA88="ACTIVE",IF(AND(I88="Complete",J88="Reviewed",M88="Ready",P88="Passed",X88=1),"Accepted","Pending"),IF(AND(I88="Complete",J88="Reviewed"),"Done","Pending")))</x:f>
        <x:v>Pending</x:v>
      </x:c>
      <x:c r="AH88" s="2" t="str">
        <x:f>IF(AA88="RETIRED","Excluded",IF(OR(AG88="Accepted",AG88="Done"),"Done",IF(ISNUMBER(W88),IF(W88&lt;$N$3,"Overdue","Planned"),"Verify baseline")))</x:f>
        <x:v>Planned</x:v>
      </x:c>
    </x:row>
    <x:row r="89" ht="48" customHeight="1">
      <x:c r="A89" s="17" t="str">
        <x:v>UC-73 · Post Customer Return or Failed-Delivery Receipt</x:v>
      </x:c>
      <x:c r="B89" s="2" t="str">
        <x:v>FE-07</x:v>
      </x:c>
      <x:c r="C89" s="17" t="str">
        <x:v>trungph · Defects, customer and supplier returns</x:v>
      </x:c>
      <x:c r="D89" s="2" t="str">
        <x:v>Use case</x:v>
      </x:c>
      <x:c r="E89" s="17" t="str">
        <x:v>Warehouse posts GR-CR under proper Sales ordinary/Owner exception decision; FD posts GR-FD from actual eligible GI-linked receipt without commercial approval, atomically reopening exact original net demand.</x:v>
      </x:c>
      <x:c r="F89" s="2" t="str">
        <x:v>Complex</x:v>
      </x:c>
      <x:c r="G89" s="13" t="n">
        <x:f>SUM(AB89:AF89)</x:f>
        <x:v>2</x:v>
      </x:c>
      <x:c r="H89" s="2" t="str">
        <x:v>Iteration 2</x:v>
      </x:c>
      <x:c r="I89" s="21" t="str">
        <x:v>To Do</x:v>
      </x:c>
      <x:c r="J89" s="21" t="str">
        <x:v>Review due</x:v>
      </x:c>
      <x:c r="K89" s="2" t="str">
        <x:v>trungph</x:v>
      </x:c>
      <x:c r="L89" s="4" t="d">
        <x:v>2026-11-27T00:00:00.000Z</x:v>
      </x:c>
      <x:c r="M89" s="21" t="str">
        <x:v>To Do</x:v>
      </x:c>
      <x:c r="N89" s="2" t="str">
        <x:v>danghh</x:v>
      </x:c>
      <x:c r="O89" s="4" t="d">
        <x:v>2026-11-27T00:00:00.000Z</x:v>
      </x:c>
      <x:c r="P89" s="21" t="str">
        <x:v>Not Run</x:v>
      </x:c>
      <x:c r="Q89" s="2" t="str">
        <x:v>danghh</x:v>
      </x:c>
      <x:c r="R89" s="4" t="d">
        <x:v>2026-11-27T00:00:00.000Z</x:v>
      </x:c>
      <x:c r="S89" s="17" t="str">
        <x:v>Complete = FE + API + business rules + authorization + unit tests + peer review + passed integration + synchronized documentation.</x:v>
      </x:c>
      <x:c r="T89" s="2" t="str">
        <x:v>UC-73</x:v>
      </x:c>
      <x:c r="U89" s="2" t="str">
        <x:v>trungph</x:v>
      </x:c>
      <x:c r="V89" s="4" t="d">
        <x:v>2026-11-09T00:00:00.000Z</x:v>
      </x:c>
      <x:c r="W89" s="4" t="d">
        <x:v>2026-11-13T00:00:00.000Z</x:v>
      </x:c>
      <x:c r="X89" s="22" t="n">
        <x:v>0</x:v>
      </x:c>
      <x:c r="Y89" s="23"/>
      <x:c r="Z89" s="17" t="str">
        <x:v>UC-58; UC-70–72; UC-109–110 (joint integration)</x:v>
      </x:c>
      <x:c r="AA89" s="2" t="str">
        <x:v>ACTIVE</x:v>
      </x:c>
      <x:c r="AB89" s="23" t="n">
        <x:v>0</x:v>
      </x:c>
      <x:c r="AC89" s="23" t="n">
        <x:v>0</x:v>
      </x:c>
      <x:c r="AD89" s="23" t="n">
        <x:v>2</x:v>
      </x:c>
      <x:c r="AE89" s="23" t="n">
        <x:v>0</x:v>
      </x:c>
      <x:c r="AF89" s="23" t="n">
        <x:v>0</x:v>
      </x:c>
      <x:c r="AG89" s="2" t="str">
        <x:f>IF(AA89="RETIRED","Excluded",IF(AA89="ACTIVE",IF(AND(I89="Complete",J89="Reviewed",M89="Ready",P89="Passed",X89=1),"Accepted","Pending"),IF(AND(I89="Complete",J89="Reviewed"),"Done","Pending")))</x:f>
        <x:v>Pending</x:v>
      </x:c>
      <x:c r="AH89" s="2" t="str">
        <x:f>IF(AA89="RETIRED","Excluded",IF(OR(AG89="Accepted",AG89="Done"),"Done",IF(ISNUMBER(W89),IF(W89&lt;$N$3,"Overdue","Planned"),"Verify baseline")))</x:f>
        <x:v>Planned</x:v>
      </x:c>
    </x:row>
    <x:row r="90" ht="43" customHeight="1">
      <x:c r="A90" s="17" t="str">
        <x:v>UC-74 · View Refund Request List</x:v>
      </x:c>
      <x:c r="B90" s="2" t="str">
        <x:v>FE-07</x:v>
      </x:c>
      <x:c r="C90" s="17" t="str">
        <x:v>Retired history</x:v>
      </x:c>
      <x:c r="D90" s="2" t="str">
        <x:v>Use case</x:v>
      </x:c>
      <x:c r="E90" s="17" t="str">
        <x:v>Historical identifier retained; unavailable in the selected To-be. External financial outcome is referenced through UC-108; no WMS refund workflow.</x:v>
      </x:c>
      <x:c r="F90" s="2" t="str">
        <x:v>Simple</x:v>
      </x:c>
      <x:c r="G90" s="13" t="n">
        <x:f>SUM(AB90:AF90)</x:f>
        <x:v>0</x:v>
      </x:c>
      <x:c r="H90" s="2" t="str">
        <x:v>Excluded</x:v>
      </x:c>
      <x:c r="I90" s="21" t="str">
        <x:v>Retired</x:v>
      </x:c>
      <x:c r="J90" s="21" t="str">
        <x:v>Retired</x:v>
      </x:c>
      <x:c r="K90" s="2"/>
      <x:c r="L90" s="4"/>
      <x:c r="M90" s="21" t="str">
        <x:v>N/A</x:v>
      </x:c>
      <x:c r="N90" s="2"/>
      <x:c r="O90" s="4"/>
      <x:c r="P90" s="21" t="str">
        <x:v>N/A</x:v>
      </x:c>
      <x:c r="Q90" s="2"/>
      <x:c r="R90" s="4"/>
      <x:c r="S90" s="17" t="str">
        <x:v>Historical ID only; no active route, permission, screen action or delivery effort.</x:v>
      </x:c>
      <x:c r="T90" s="2" t="str">
        <x:v>UC-74</x:v>
      </x:c>
      <x:c r="U90" s="2"/>
      <x:c r="V90" s="4"/>
      <x:c r="W90" s="4" t="d">
        <x:v>2026-11-13T00:00:00.000Z</x:v>
      </x:c>
      <x:c r="X90" s="22"/>
      <x:c r="Y90" s="23"/>
      <x:c r="Z90" s="17" t="str">
        <x:v>UC-26; UC-58; shared stock/source contracts</x:v>
      </x:c>
      <x:c r="AA90" s="2" t="str">
        <x:v>RETIRED</x:v>
      </x:c>
      <x:c r="AB90" s="23" t="n">
        <x:v>0</x:v>
      </x:c>
      <x:c r="AC90" s="23" t="n">
        <x:v>0</x:v>
      </x:c>
      <x:c r="AD90" s="23" t="n">
        <x:v>0</x:v>
      </x:c>
      <x:c r="AE90" s="23" t="n">
        <x:v>0</x:v>
      </x:c>
      <x:c r="AF90" s="23" t="n">
        <x:v>0</x:v>
      </x:c>
      <x:c r="AG90" s="2" t="str">
        <x:f>IF(AA90="RETIRED","Excluded",IF(AA90="ACTIVE",IF(AND(I90="Complete",J90="Reviewed",M90="Ready",P90="Passed",X90=1),"Accepted","Pending"),IF(AND(I90="Complete",J90="Reviewed"),"Done","Pending")))</x:f>
        <x:v>Excluded</x:v>
      </x:c>
      <x:c r="AH90" s="2" t="str">
        <x:f>IF(AA90="RETIRED","Excluded",IF(OR(AG90="Accepted",AG90="Done"),"Done",IF(ISNUMBER(W90),IF(W90&lt;$N$3,"Overdue","Planned"),"Verify baseline")))</x:f>
        <x:v>Excluded</x:v>
      </x:c>
    </x:row>
    <x:row r="91" ht="43" customHeight="1">
      <x:c r="A91" s="17" t="str">
        <x:v>UC-75 · View Refund Request Details</x:v>
      </x:c>
      <x:c r="B91" s="2" t="str">
        <x:v>FE-07</x:v>
      </x:c>
      <x:c r="C91" s="17" t="str">
        <x:v>Retired history</x:v>
      </x:c>
      <x:c r="D91" s="2" t="str">
        <x:v>Use case</x:v>
      </x:c>
      <x:c r="E91" s="17" t="str">
        <x:v>Historical identifier retained; unavailable in the selected To-be. External financial outcome is referenced through UC-108; no WMS refund workflow.</x:v>
      </x:c>
      <x:c r="F91" s="2" t="str">
        <x:v>Simple</x:v>
      </x:c>
      <x:c r="G91" s="13" t="n">
        <x:f>SUM(AB91:AF91)</x:f>
        <x:v>0</x:v>
      </x:c>
      <x:c r="H91" s="2" t="str">
        <x:v>Excluded</x:v>
      </x:c>
      <x:c r="I91" s="21" t="str">
        <x:v>Retired</x:v>
      </x:c>
      <x:c r="J91" s="21" t="str">
        <x:v>Retired</x:v>
      </x:c>
      <x:c r="K91" s="2"/>
      <x:c r="L91" s="4"/>
      <x:c r="M91" s="21" t="str">
        <x:v>N/A</x:v>
      </x:c>
      <x:c r="N91" s="2"/>
      <x:c r="O91" s="4"/>
      <x:c r="P91" s="21" t="str">
        <x:v>N/A</x:v>
      </x:c>
      <x:c r="Q91" s="2"/>
      <x:c r="R91" s="4"/>
      <x:c r="S91" s="17" t="str">
        <x:v>Historical ID only; no active route, permission, screen action or delivery effort.</x:v>
      </x:c>
      <x:c r="T91" s="2" t="str">
        <x:v>UC-75</x:v>
      </x:c>
      <x:c r="U91" s="2"/>
      <x:c r="V91" s="4"/>
      <x:c r="W91" s="4" t="d">
        <x:v>2026-11-13T00:00:00.000Z</x:v>
      </x:c>
      <x:c r="X91" s="22"/>
      <x:c r="Y91" s="23"/>
      <x:c r="Z91" s="17" t="str">
        <x:v>UC-26; UC-58; shared stock/source contracts</x:v>
      </x:c>
      <x:c r="AA91" s="2" t="str">
        <x:v>RETIRED</x:v>
      </x:c>
      <x:c r="AB91" s="23" t="n">
        <x:v>0</x:v>
      </x:c>
      <x:c r="AC91" s="23" t="n">
        <x:v>0</x:v>
      </x:c>
      <x:c r="AD91" s="23" t="n">
        <x:v>0</x:v>
      </x:c>
      <x:c r="AE91" s="23" t="n">
        <x:v>0</x:v>
      </x:c>
      <x:c r="AF91" s="23" t="n">
        <x:v>0</x:v>
      </x:c>
      <x:c r="AG91" s="2" t="str">
        <x:f>IF(AA91="RETIRED","Excluded",IF(AA91="ACTIVE",IF(AND(I91="Complete",J91="Reviewed",M91="Ready",P91="Passed",X91=1),"Accepted","Pending"),IF(AND(I91="Complete",J91="Reviewed"),"Done","Pending")))</x:f>
        <x:v>Excluded</x:v>
      </x:c>
      <x:c r="AH91" s="2" t="str">
        <x:f>IF(AA91="RETIRED","Excluded",IF(OR(AG91="Accepted",AG91="Done"),"Done",IF(ISNUMBER(W91),IF(W91&lt;$N$3,"Overdue","Planned"),"Verify baseline")))</x:f>
        <x:v>Excluded</x:v>
      </x:c>
    </x:row>
    <x:row r="92" ht="43" customHeight="1">
      <x:c r="A92" s="17" t="str">
        <x:v>UC-76 · Create Customer Return Refund Request</x:v>
      </x:c>
      <x:c r="B92" s="2" t="str">
        <x:v>FE-07</x:v>
      </x:c>
      <x:c r="C92" s="17" t="str">
        <x:v>Retired history</x:v>
      </x:c>
      <x:c r="D92" s="2" t="str">
        <x:v>Use case</x:v>
      </x:c>
      <x:c r="E92" s="17" t="str">
        <x:v>Historical identifier retained; unavailable in the selected To-be. External financial outcome is referenced through UC-108; no WMS refund workflow.</x:v>
      </x:c>
      <x:c r="F92" s="2" t="str">
        <x:v>Simple</x:v>
      </x:c>
      <x:c r="G92" s="13" t="n">
        <x:f>SUM(AB92:AF92)</x:f>
        <x:v>0</x:v>
      </x:c>
      <x:c r="H92" s="2" t="str">
        <x:v>Excluded</x:v>
      </x:c>
      <x:c r="I92" s="21" t="str">
        <x:v>Retired</x:v>
      </x:c>
      <x:c r="J92" s="21" t="str">
        <x:v>Retired</x:v>
      </x:c>
      <x:c r="K92" s="2"/>
      <x:c r="L92" s="4"/>
      <x:c r="M92" s="21" t="str">
        <x:v>N/A</x:v>
      </x:c>
      <x:c r="N92" s="2"/>
      <x:c r="O92" s="4"/>
      <x:c r="P92" s="21" t="str">
        <x:v>N/A</x:v>
      </x:c>
      <x:c r="Q92" s="2"/>
      <x:c r="R92" s="4"/>
      <x:c r="S92" s="17" t="str">
        <x:v>Historical ID only; no active route, permission, screen action or delivery effort.</x:v>
      </x:c>
      <x:c r="T92" s="2" t="str">
        <x:v>UC-76</x:v>
      </x:c>
      <x:c r="U92" s="2"/>
      <x:c r="V92" s="4"/>
      <x:c r="W92" s="4" t="d">
        <x:v>2026-11-13T00:00:00.000Z</x:v>
      </x:c>
      <x:c r="X92" s="22"/>
      <x:c r="Y92" s="23"/>
      <x:c r="Z92" s="17" t="str">
        <x:v>UC-26; UC-58; shared stock/source contracts</x:v>
      </x:c>
      <x:c r="AA92" s="2" t="str">
        <x:v>RETIRED</x:v>
      </x:c>
      <x:c r="AB92" s="23" t="n">
        <x:v>0</x:v>
      </x:c>
      <x:c r="AC92" s="23" t="n">
        <x:v>0</x:v>
      </x:c>
      <x:c r="AD92" s="23" t="n">
        <x:v>0</x:v>
      </x:c>
      <x:c r="AE92" s="23" t="n">
        <x:v>0</x:v>
      </x:c>
      <x:c r="AF92" s="23" t="n">
        <x:v>0</x:v>
      </x:c>
      <x:c r="AG92" s="2" t="str">
        <x:f>IF(AA92="RETIRED","Excluded",IF(AA92="ACTIVE",IF(AND(I92="Complete",J92="Reviewed",M92="Ready",P92="Passed",X92=1),"Accepted","Pending"),IF(AND(I92="Complete",J92="Reviewed"),"Done","Pending")))</x:f>
        <x:v>Excluded</x:v>
      </x:c>
      <x:c r="AH92" s="2" t="str">
        <x:f>IF(AA92="RETIRED","Excluded",IF(OR(AG92="Accepted",AG92="Done"),"Done",IF(ISNUMBER(W92),IF(W92&lt;$N$3,"Overdue","Planned"),"Verify baseline")))</x:f>
        <x:v>Excluded</x:v>
      </x:c>
    </x:row>
    <x:row r="93" ht="43" customHeight="1">
      <x:c r="A93" s="17" t="str">
        <x:v>UC-77 · Review Customer Return Refund Request</x:v>
      </x:c>
      <x:c r="B93" s="2" t="str">
        <x:v>FE-07</x:v>
      </x:c>
      <x:c r="C93" s="17" t="str">
        <x:v>Retired history</x:v>
      </x:c>
      <x:c r="D93" s="2" t="str">
        <x:v>Use case</x:v>
      </x:c>
      <x:c r="E93" s="17" t="str">
        <x:v>Historical identifier retained; unavailable in the selected To-be. External financial outcome is referenced through UC-108; no WMS refund workflow.</x:v>
      </x:c>
      <x:c r="F93" s="2" t="str">
        <x:v>Simple</x:v>
      </x:c>
      <x:c r="G93" s="13" t="n">
        <x:f>SUM(AB93:AF93)</x:f>
        <x:v>0</x:v>
      </x:c>
      <x:c r="H93" s="2" t="str">
        <x:v>Excluded</x:v>
      </x:c>
      <x:c r="I93" s="21" t="str">
        <x:v>Retired</x:v>
      </x:c>
      <x:c r="J93" s="21" t="str">
        <x:v>Retired</x:v>
      </x:c>
      <x:c r="K93" s="2"/>
      <x:c r="L93" s="4"/>
      <x:c r="M93" s="21" t="str">
        <x:v>N/A</x:v>
      </x:c>
      <x:c r="N93" s="2"/>
      <x:c r="O93" s="4"/>
      <x:c r="P93" s="21" t="str">
        <x:v>N/A</x:v>
      </x:c>
      <x:c r="Q93" s="2"/>
      <x:c r="R93" s="4"/>
      <x:c r="S93" s="17" t="str">
        <x:v>Historical ID only; no active route, permission, screen action or delivery effort.</x:v>
      </x:c>
      <x:c r="T93" s="2" t="str">
        <x:v>UC-77</x:v>
      </x:c>
      <x:c r="U93" s="2"/>
      <x:c r="V93" s="4"/>
      <x:c r="W93" s="4" t="d">
        <x:v>2026-11-13T00:00:00.000Z</x:v>
      </x:c>
      <x:c r="X93" s="22"/>
      <x:c r="Y93" s="23"/>
      <x:c r="Z93" s="17" t="str">
        <x:v>UC-26; UC-58; shared stock/source contracts</x:v>
      </x:c>
      <x:c r="AA93" s="2" t="str">
        <x:v>RETIRED</x:v>
      </x:c>
      <x:c r="AB93" s="23" t="n">
        <x:v>0</x:v>
      </x:c>
      <x:c r="AC93" s="23" t="n">
        <x:v>0</x:v>
      </x:c>
      <x:c r="AD93" s="23" t="n">
        <x:v>0</x:v>
      </x:c>
      <x:c r="AE93" s="23" t="n">
        <x:v>0</x:v>
      </x:c>
      <x:c r="AF93" s="23" t="n">
        <x:v>0</x:v>
      </x:c>
      <x:c r="AG93" s="2" t="str">
        <x:f>IF(AA93="RETIRED","Excluded",IF(AA93="ACTIVE",IF(AND(I93="Complete",J93="Reviewed",M93="Ready",P93="Passed",X93=1),"Accepted","Pending"),IF(AND(I93="Complete",J93="Reviewed"),"Done","Pending")))</x:f>
        <x:v>Excluded</x:v>
      </x:c>
      <x:c r="AH93" s="2" t="str">
        <x:f>IF(AA93="RETIRED","Excluded",IF(OR(AG93="Accepted",AG93="Done"),"Done",IF(ISNUMBER(W93),IF(W93&lt;$N$3,"Overdue","Planned"),"Verify baseline")))</x:f>
        <x:v>Excluded</x:v>
      </x:c>
    </x:row>
    <x:row r="94" ht="43" customHeight="1">
      <x:c r="A94" s="17" t="str">
        <x:v>UC-78 · Record Refund Completion</x:v>
      </x:c>
      <x:c r="B94" s="2" t="str">
        <x:v>FE-07</x:v>
      </x:c>
      <x:c r="C94" s="17" t="str">
        <x:v>Retired history</x:v>
      </x:c>
      <x:c r="D94" s="2" t="str">
        <x:v>Use case</x:v>
      </x:c>
      <x:c r="E94" s="17" t="str">
        <x:v>Historical identifier retained; unavailable in the selected To-be. External financial outcome is referenced through UC-108; no WMS refund workflow.</x:v>
      </x:c>
      <x:c r="F94" s="2" t="str">
        <x:v>Simple</x:v>
      </x:c>
      <x:c r="G94" s="13" t="n">
        <x:f>SUM(AB94:AF94)</x:f>
        <x:v>0</x:v>
      </x:c>
      <x:c r="H94" s="2" t="str">
        <x:v>Excluded</x:v>
      </x:c>
      <x:c r="I94" s="21" t="str">
        <x:v>Retired</x:v>
      </x:c>
      <x:c r="J94" s="21" t="str">
        <x:v>Retired</x:v>
      </x:c>
      <x:c r="K94" s="2"/>
      <x:c r="L94" s="4"/>
      <x:c r="M94" s="21" t="str">
        <x:v>N/A</x:v>
      </x:c>
      <x:c r="N94" s="2"/>
      <x:c r="O94" s="4"/>
      <x:c r="P94" s="21" t="str">
        <x:v>N/A</x:v>
      </x:c>
      <x:c r="Q94" s="2"/>
      <x:c r="R94" s="4"/>
      <x:c r="S94" s="17" t="str">
        <x:v>Historical ID only; no active route, permission, screen action or delivery effort.</x:v>
      </x:c>
      <x:c r="T94" s="2" t="str">
        <x:v>UC-78</x:v>
      </x:c>
      <x:c r="U94" s="2"/>
      <x:c r="V94" s="4"/>
      <x:c r="W94" s="4" t="d">
        <x:v>2026-11-13T00:00:00.000Z</x:v>
      </x:c>
      <x:c r="X94" s="22"/>
      <x:c r="Y94" s="23"/>
      <x:c r="Z94" s="17" t="str">
        <x:v>UC-26; UC-58; shared stock/source contracts</x:v>
      </x:c>
      <x:c r="AA94" s="2" t="str">
        <x:v>RETIRED</x:v>
      </x:c>
      <x:c r="AB94" s="23" t="n">
        <x:v>0</x:v>
      </x:c>
      <x:c r="AC94" s="23" t="n">
        <x:v>0</x:v>
      </x:c>
      <x:c r="AD94" s="23" t="n">
        <x:v>0</x:v>
      </x:c>
      <x:c r="AE94" s="23" t="n">
        <x:v>0</x:v>
      </x:c>
      <x:c r="AF94" s="23" t="n">
        <x:v>0</x:v>
      </x:c>
      <x:c r="AG94" s="2" t="str">
        <x:f>IF(AA94="RETIRED","Excluded",IF(AA94="ACTIVE",IF(AND(I94="Complete",J94="Reviewed",M94="Ready",P94="Passed",X94=1),"Accepted","Pending"),IF(AND(I94="Complete",J94="Reviewed"),"Done","Pending")))</x:f>
        <x:v>Excluded</x:v>
      </x:c>
      <x:c r="AH94" s="2" t="str">
        <x:f>IF(AA94="RETIRED","Excluded",IF(OR(AG94="Accepted",AG94="Done"),"Done",IF(ISNUMBER(W94),IF(W94&lt;$N$3,"Overdue","Planned"),"Verify baseline")))</x:f>
        <x:v>Excluded</x:v>
      </x:c>
    </x:row>
    <x:row r="95" ht="43" customHeight="1">
      <x:c r="A95" s="17" t="str">
        <x:v>UC-79 · View supplier return request list</x:v>
      </x:c>
      <x:c r="B95" s="2" t="str">
        <x:v>FE-07</x:v>
      </x:c>
      <x:c r="C95" s="17" t="str">
        <x:v>trungph · Defects, customer and supplier returns</x:v>
      </x:c>
      <x:c r="D95" s="2" t="str">
        <x:v>Use case</x:v>
      </x:c>
      <x:c r="E95" s="17" t="str">
        <x:v>Search by supplier, lot, reason, agreement and reconciliation status.</x:v>
      </x:c>
      <x:c r="F95" s="2" t="str">
        <x:v>Simple</x:v>
      </x:c>
      <x:c r="G95" s="13" t="n">
        <x:f>SUM(AB95:AF95)</x:f>
        <x:v>0.25</x:v>
      </x:c>
      <x:c r="H95" s="2" t="str">
        <x:v>Iteration 2</x:v>
      </x:c>
      <x:c r="I95" s="21" t="str">
        <x:v>To Do</x:v>
      </x:c>
      <x:c r="J95" s="21" t="str">
        <x:v>Review due</x:v>
      </x:c>
      <x:c r="K95" s="2" t="str">
        <x:v>trungph</x:v>
      </x:c>
      <x:c r="L95" s="4" t="d">
        <x:v>2026-11-27T00:00:00.000Z</x:v>
      </x:c>
      <x:c r="M95" s="21" t="str">
        <x:v>To Do</x:v>
      </x:c>
      <x:c r="N95" s="2" t="str">
        <x:v>danghh</x:v>
      </x:c>
      <x:c r="O95" s="4" t="d">
        <x:v>2026-11-27T00:00:00.000Z</x:v>
      </x:c>
      <x:c r="P95" s="21" t="str">
        <x:v>Not Run</x:v>
      </x:c>
      <x:c r="Q95" s="2" t="str">
        <x:v>danghh</x:v>
      </x:c>
      <x:c r="R95" s="4" t="d">
        <x:v>2026-11-27T00:00:00.000Z</x:v>
      </x:c>
      <x:c r="S95" s="17" t="str">
        <x:v>Complete = FE + API + business rules + authorization + unit tests + peer review + passed integration + synchronized documentation.</x:v>
      </x:c>
      <x:c r="T95" s="2" t="str">
        <x:v>UC-79</x:v>
      </x:c>
      <x:c r="U95" s="2" t="str">
        <x:v>trungph</x:v>
      </x:c>
      <x:c r="V95" s="4" t="d">
        <x:v>2026-11-09T00:00:00.000Z</x:v>
      </x:c>
      <x:c r="W95" s="4" t="d">
        <x:v>2026-11-13T00:00:00.000Z</x:v>
      </x:c>
      <x:c r="X95" s="22" t="n">
        <x:v>0</x:v>
      </x:c>
      <x:c r="Y95" s="23"/>
      <x:c r="Z95" s="17" t="str">
        <x:v>UC-26; UC-58; shared stock/source contracts</x:v>
      </x:c>
      <x:c r="AA95" s="2" t="str">
        <x:v>ACTIVE</x:v>
      </x:c>
      <x:c r="AB95" s="23" t="n">
        <x:v>0</x:v>
      </x:c>
      <x:c r="AC95" s="23" t="n">
        <x:v>0</x:v>
      </x:c>
      <x:c r="AD95" s="23" t="n">
        <x:v>0.25</x:v>
      </x:c>
      <x:c r="AE95" s="23" t="n">
        <x:v>0</x:v>
      </x:c>
      <x:c r="AF95" s="23" t="n">
        <x:v>0</x:v>
      </x:c>
      <x:c r="AG95" s="2" t="str">
        <x:f>IF(AA95="RETIRED","Excluded",IF(AA95="ACTIVE",IF(AND(I95="Complete",J95="Reviewed",M95="Ready",P95="Passed",X95=1),"Accepted","Pending"),IF(AND(I95="Complete",J95="Reviewed"),"Done","Pending")))</x:f>
        <x:v>Pending</x:v>
      </x:c>
      <x:c r="AH95" s="2" t="str">
        <x:f>IF(AA95="RETIRED","Excluded",IF(OR(AG95="Accepted",AG95="Done"),"Done",IF(ISNUMBER(W95),IF(W95&lt;$N$3,"Overdue","Planned"),"Verify baseline")))</x:f>
        <x:v>Planned</x:v>
      </x:c>
    </x:row>
    <x:row r="96" ht="43" customHeight="1">
      <x:c r="A96" s="17" t="str">
        <x:v>UC-80 · View supplier return request details</x:v>
      </x:c>
      <x:c r="B96" s="2" t="str">
        <x:v>FE-07</x:v>
      </x:c>
      <x:c r="C96" s="17" t="str">
        <x:v>trungph · Defects, customer and supplier returns</x:v>
      </x:c>
      <x:c r="D96" s="2" t="str">
        <x:v>Use case</x:v>
      </x:c>
      <x:c r="E96" s="17" t="str">
        <x:v>Display lot, location, quantity, source receipt, verified supplier agreement, ACK and Accountant reconciliation outcome.</x:v>
      </x:c>
      <x:c r="F96" s="2" t="str">
        <x:v>Simple</x:v>
      </x:c>
      <x:c r="G96" s="13" t="n">
        <x:f>SUM(AB96:AF96)</x:f>
        <x:v>0.25</x:v>
      </x:c>
      <x:c r="H96" s="2" t="str">
        <x:v>Iteration 2</x:v>
      </x:c>
      <x:c r="I96" s="21" t="str">
        <x:v>To Do</x:v>
      </x:c>
      <x:c r="J96" s="21" t="str">
        <x:v>Review due</x:v>
      </x:c>
      <x:c r="K96" s="2" t="str">
        <x:v>trungph</x:v>
      </x:c>
      <x:c r="L96" s="4" t="d">
        <x:v>2026-11-27T00:00:00.000Z</x:v>
      </x:c>
      <x:c r="M96" s="21" t="str">
        <x:v>To Do</x:v>
      </x:c>
      <x:c r="N96" s="2" t="str">
        <x:v>danghh</x:v>
      </x:c>
      <x:c r="O96" s="4" t="d">
        <x:v>2026-11-27T00:00:00.000Z</x:v>
      </x:c>
      <x:c r="P96" s="21" t="str">
        <x:v>Not Run</x:v>
      </x:c>
      <x:c r="Q96" s="2" t="str">
        <x:v>danghh</x:v>
      </x:c>
      <x:c r="R96" s="4" t="d">
        <x:v>2026-11-27T00:00:00.000Z</x:v>
      </x:c>
      <x:c r="S96" s="17" t="str">
        <x:v>Complete = FE + API + business rules + authorization + unit tests + peer review + passed integration + synchronized documentation.</x:v>
      </x:c>
      <x:c r="T96" s="2" t="str">
        <x:v>UC-80</x:v>
      </x:c>
      <x:c r="U96" s="2" t="str">
        <x:v>trungph</x:v>
      </x:c>
      <x:c r="V96" s="4" t="d">
        <x:v>2026-11-09T00:00:00.000Z</x:v>
      </x:c>
      <x:c r="W96" s="4" t="d">
        <x:v>2026-11-13T00:00:00.000Z</x:v>
      </x:c>
      <x:c r="X96" s="22" t="n">
        <x:v>0</x:v>
      </x:c>
      <x:c r="Y96" s="23"/>
      <x:c r="Z96" s="17" t="str">
        <x:v>UC-26; UC-58; shared stock/source contracts</x:v>
      </x:c>
      <x:c r="AA96" s="2" t="str">
        <x:v>ACTIVE</x:v>
      </x:c>
      <x:c r="AB96" s="23" t="n">
        <x:v>0</x:v>
      </x:c>
      <x:c r="AC96" s="23" t="n">
        <x:v>0</x:v>
      </x:c>
      <x:c r="AD96" s="23" t="n">
        <x:v>0.25</x:v>
      </x:c>
      <x:c r="AE96" s="23" t="n">
        <x:v>0</x:v>
      </x:c>
      <x:c r="AF96" s="23" t="n">
        <x:v>0</x:v>
      </x:c>
      <x:c r="AG96" s="2" t="str">
        <x:f>IF(AA96="RETIRED","Excluded",IF(AA96="ACTIVE",IF(AND(I96="Complete",J96="Reviewed",M96="Ready",P96="Passed",X96=1),"Accepted","Pending"),IF(AND(I96="Complete",J96="Reviewed"),"Done","Pending")))</x:f>
        <x:v>Pending</x:v>
      </x:c>
      <x:c r="AH96" s="2" t="str">
        <x:f>IF(AA96="RETIRED","Excluded",IF(OR(AG96="Accepted",AG96="Done"),"Done",IF(ISNUMBER(W96),IF(W96&lt;$N$3,"Overdue","Planned"),"Verify baseline")))</x:f>
        <x:v>Planned</x:v>
      </x:c>
    </x:row>
    <x:row r="97" ht="48" customHeight="1">
      <x:c r="A97" s="17" t="str">
        <x:v>UC-81 · Create Supplier Return Request</x:v>
      </x:c>
      <x:c r="B97" s="2" t="str">
        <x:v>FE-07</x:v>
      </x:c>
      <x:c r="C97" s="17" t="str">
        <x:v>trungph · Defects, customer and supplier returns</x:v>
      </x:c>
      <x:c r="D97" s="2" t="str">
        <x:v>Use case</x:v>
      </x:c>
      <x:c r="E97" s="17" t="str">
        <x:v>Warehouse proposes source-linked SR and isolates defects/reserves good goods. Accountant verifies supplier agreement; there is no Owner dispatch/variance/closure approval.</x:v>
      </x:c>
      <x:c r="F97" s="2" t="str">
        <x:v>Medium</x:v>
      </x:c>
      <x:c r="G97" s="13" t="n">
        <x:f>SUM(AB97:AF97)</x:f>
        <x:v>1</x:v>
      </x:c>
      <x:c r="H97" s="2" t="str">
        <x:v>Iteration 2</x:v>
      </x:c>
      <x:c r="I97" s="21" t="str">
        <x:v>To Do</x:v>
      </x:c>
      <x:c r="J97" s="21" t="str">
        <x:v>Review due</x:v>
      </x:c>
      <x:c r="K97" s="2" t="str">
        <x:v>trungph</x:v>
      </x:c>
      <x:c r="L97" s="4" t="d">
        <x:v>2026-11-27T00:00:00.000Z</x:v>
      </x:c>
      <x:c r="M97" s="21" t="str">
        <x:v>To Do</x:v>
      </x:c>
      <x:c r="N97" s="2" t="str">
        <x:v>danghh</x:v>
      </x:c>
      <x:c r="O97" s="4" t="d">
        <x:v>2026-11-27T00:00:00.000Z</x:v>
      </x:c>
      <x:c r="P97" s="21" t="str">
        <x:v>Not Run</x:v>
      </x:c>
      <x:c r="Q97" s="2" t="str">
        <x:v>danghh</x:v>
      </x:c>
      <x:c r="R97" s="4" t="d">
        <x:v>2026-11-27T00:00:00.000Z</x:v>
      </x:c>
      <x:c r="S97" s="17" t="str">
        <x:v>Complete = FE + API + business rules + authorization + unit tests + peer review + passed integration + synchronized documentation.</x:v>
      </x:c>
      <x:c r="T97" s="2" t="str">
        <x:v>UC-81</x:v>
      </x:c>
      <x:c r="U97" s="2" t="str">
        <x:v>trungph</x:v>
      </x:c>
      <x:c r="V97" s="4" t="d">
        <x:v>2026-11-09T00:00:00.000Z</x:v>
      </x:c>
      <x:c r="W97" s="4" t="d">
        <x:v>2026-11-20T00:00:00.000Z</x:v>
      </x:c>
      <x:c r="X97" s="22" t="n">
        <x:v>0</x:v>
      </x:c>
      <x:c r="Y97" s="23"/>
      <x:c r="Z97" s="17" t="str">
        <x:v>UC-26; UC-58; shared stock/source contracts</x:v>
      </x:c>
      <x:c r="AA97" s="2" t="str">
        <x:v>ACTIVE</x:v>
      </x:c>
      <x:c r="AB97" s="23" t="n">
        <x:v>0</x:v>
      </x:c>
      <x:c r="AC97" s="23" t="n">
        <x:v>0</x:v>
      </x:c>
      <x:c r="AD97" s="23" t="n">
        <x:v>0.5</x:v>
      </x:c>
      <x:c r="AE97" s="23" t="n">
        <x:v>0.5</x:v>
      </x:c>
      <x:c r="AF97" s="23" t="n">
        <x:v>0</x:v>
      </x:c>
      <x:c r="AG97" s="2" t="str">
        <x:f>IF(AA97="RETIRED","Excluded",IF(AA97="ACTIVE",IF(AND(I97="Complete",J97="Reviewed",M97="Ready",P97="Passed",X97=1),"Accepted","Pending"),IF(AND(I97="Complete",J97="Reviewed"),"Done","Pending")))</x:f>
        <x:v>Pending</x:v>
      </x:c>
      <x:c r="AH97" s="2" t="str">
        <x:f>IF(AA97="RETIRED","Excluded",IF(OR(AG97="Accepted",AG97="Done"),"Done",IF(ISNUMBER(W97),IF(W97&lt;$N$3,"Overdue","Planned"),"Verify baseline")))</x:f>
        <x:v>Planned</x:v>
      </x:c>
    </x:row>
    <x:row r="98" ht="48" customHeight="1">
      <x:c r="A98" s="17" t="str">
        <x:v>UC-82 · Confirm Supplier Return Dispatch</x:v>
      </x:c>
      <x:c r="B98" s="2" t="str">
        <x:v>FE-07</x:v>
      </x:c>
      <x:c r="C98" s="17" t="str">
        <x:v>trungph · Defects, customer and supplier returns</x:v>
      </x:c>
      <x:c r="D98" s="2" t="str">
        <x:v>Use case</x:v>
      </x:c>
      <x:c r="E98" s="17" t="str">
        <x:v>Warehouse posts actual GI-SR or supplier-custody release within Accountant-verified agreement/source quantity, without Owner authorization. ACK is a later event.</x:v>
      </x:c>
      <x:c r="F98" s="2" t="str">
        <x:v>Complex</x:v>
      </x:c>
      <x:c r="G98" s="13" t="n">
        <x:f>SUM(AB98:AF98)</x:f>
        <x:v>1.5</x:v>
      </x:c>
      <x:c r="H98" s="2" t="str">
        <x:v>Iteration 2</x:v>
      </x:c>
      <x:c r="I98" s="21" t="str">
        <x:v>To Do</x:v>
      </x:c>
      <x:c r="J98" s="21" t="str">
        <x:v>Review due</x:v>
      </x:c>
      <x:c r="K98" s="2" t="str">
        <x:v>trungph</x:v>
      </x:c>
      <x:c r="L98" s="4" t="d">
        <x:v>2026-11-27T00:00:00.000Z</x:v>
      </x:c>
      <x:c r="M98" s="21" t="str">
        <x:v>To Do</x:v>
      </x:c>
      <x:c r="N98" s="2" t="str">
        <x:v>danghh</x:v>
      </x:c>
      <x:c r="O98" s="4" t="d">
        <x:v>2026-11-27T00:00:00.000Z</x:v>
      </x:c>
      <x:c r="P98" s="21" t="str">
        <x:v>Not Run</x:v>
      </x:c>
      <x:c r="Q98" s="2" t="str">
        <x:v>danghh</x:v>
      </x:c>
      <x:c r="R98" s="4" t="d">
        <x:v>2026-11-27T00:00:00.000Z</x:v>
      </x:c>
      <x:c r="S98" s="17" t="str">
        <x:v>Complete = FE + API + business rules + authorization + unit tests + peer review + passed integration + synchronized documentation.</x:v>
      </x:c>
      <x:c r="T98" s="2" t="str">
        <x:v>UC-82</x:v>
      </x:c>
      <x:c r="U98" s="2" t="str">
        <x:v>trungph</x:v>
      </x:c>
      <x:c r="V98" s="4" t="d">
        <x:v>2026-11-16T00:00:00.000Z</x:v>
      </x:c>
      <x:c r="W98" s="4" t="d">
        <x:v>2026-11-20T00:00:00.000Z</x:v>
      </x:c>
      <x:c r="X98" s="22" t="n">
        <x:v>0</x:v>
      </x:c>
      <x:c r="Y98" s="23"/>
      <x:c r="Z98" s="17" t="str">
        <x:v>UC-26; UC-58; shared stock/source contracts</x:v>
      </x:c>
      <x:c r="AA98" s="2" t="str">
        <x:v>ACTIVE</x:v>
      </x:c>
      <x:c r="AB98" s="23" t="n">
        <x:v>0</x:v>
      </x:c>
      <x:c r="AC98" s="23" t="n">
        <x:v>0</x:v>
      </x:c>
      <x:c r="AD98" s="23" t="n">
        <x:v>0</x:v>
      </x:c>
      <x:c r="AE98" s="23" t="n">
        <x:v>1.5</x:v>
      </x:c>
      <x:c r="AF98" s="23" t="n">
        <x:v>0</x:v>
      </x:c>
      <x:c r="AG98" s="2" t="str">
        <x:f>IF(AA98="RETIRED","Excluded",IF(AA98="ACTIVE",IF(AND(I98="Complete",J98="Reviewed",M98="Ready",P98="Passed",X98=1),"Accepted","Pending"),IF(AND(I98="Complete",J98="Reviewed"),"Done","Pending")))</x:f>
        <x:v>Pending</x:v>
      </x:c>
      <x:c r="AH98" s="2" t="str">
        <x:f>IF(AA98="RETIRED","Excluded",IF(OR(AG98="Accepted",AG98="Done"),"Done",IF(ISNUMBER(W98),IF(W98&lt;$N$3,"Overdue","Planned"),"Verify baseline")))</x:f>
        <x:v>Planned</x:v>
      </x:c>
    </x:row>
    <x:row r="99" ht="48" customHeight="1">
      <x:c r="A99" s="17" t="str">
        <x:v>UC-83 · Review Supplier Return Closure</x:v>
      </x:c>
      <x:c r="B99" s="2" t="str">
        <x:v>FE-07</x:v>
      </x:c>
      <x:c r="C99" s="17" t="str">
        <x:v>trungph · Defects, customer and supplier returns</x:v>
      </x:c>
      <x:c r="D99" s="2" t="str">
        <x:v>Use case</x:v>
      </x:c>
      <x:c r="E99" s="17" t="str">
        <x:v>Accountant reconciles and closes accounted supplier-return warehouse quantity under UC-83/107 without Owner. Unresolved disputes stay open; external financial status is independent.</x:v>
      </x:c>
      <x:c r="F99" s="2" t="str">
        <x:v>Medium</x:v>
      </x:c>
      <x:c r="G99" s="13" t="n">
        <x:f>SUM(AB99:AF99)</x:f>
        <x:v>1</x:v>
      </x:c>
      <x:c r="H99" s="2" t="str">
        <x:v>Iteration 2</x:v>
      </x:c>
      <x:c r="I99" s="21" t="str">
        <x:v>To Do</x:v>
      </x:c>
      <x:c r="J99" s="21" t="str">
        <x:v>Review due</x:v>
      </x:c>
      <x:c r="K99" s="2" t="str">
        <x:v>trungph</x:v>
      </x:c>
      <x:c r="L99" s="4" t="d">
        <x:v>2026-11-27T00:00:00.000Z</x:v>
      </x:c>
      <x:c r="M99" s="21" t="str">
        <x:v>To Do</x:v>
      </x:c>
      <x:c r="N99" s="2" t="str">
        <x:v>danghh</x:v>
      </x:c>
      <x:c r="O99" s="4" t="d">
        <x:v>2026-11-27T00:00:00.000Z</x:v>
      </x:c>
      <x:c r="P99" s="21" t="str">
        <x:v>Not Run</x:v>
      </x:c>
      <x:c r="Q99" s="2" t="str">
        <x:v>danghh</x:v>
      </x:c>
      <x:c r="R99" s="4" t="d">
        <x:v>2026-11-27T00:00:00.000Z</x:v>
      </x:c>
      <x:c r="S99" s="17" t="str">
        <x:v>Complete = FE + API + business rules + authorization + unit tests + peer review + passed integration + synchronized documentation.</x:v>
      </x:c>
      <x:c r="T99" s="2" t="str">
        <x:v>UC-83</x:v>
      </x:c>
      <x:c r="U99" s="2" t="str">
        <x:v>trungph</x:v>
      </x:c>
      <x:c r="V99" s="4" t="d">
        <x:v>2026-11-16T00:00:00.000Z</x:v>
      </x:c>
      <x:c r="W99" s="4" t="d">
        <x:v>2026-11-20T00:00:00.000Z</x:v>
      </x:c>
      <x:c r="X99" s="22" t="n">
        <x:v>0</x:v>
      </x:c>
      <x:c r="Y99" s="23"/>
      <x:c r="Z99" s="17" t="str">
        <x:v>UC-26; UC-58; shared stock/source contracts</x:v>
      </x:c>
      <x:c r="AA99" s="2" t="str">
        <x:v>ACTIVE</x:v>
      </x:c>
      <x:c r="AB99" s="23" t="n">
        <x:v>0</x:v>
      </x:c>
      <x:c r="AC99" s="23" t="n">
        <x:v>0</x:v>
      </x:c>
      <x:c r="AD99" s="23" t="n">
        <x:v>0</x:v>
      </x:c>
      <x:c r="AE99" s="23" t="n">
        <x:v>1</x:v>
      </x:c>
      <x:c r="AF99" s="23" t="n">
        <x:v>0</x:v>
      </x:c>
      <x:c r="AG99" s="2" t="str">
        <x:f>IF(AA99="RETIRED","Excluded",IF(AA99="ACTIVE",IF(AND(I99="Complete",J99="Reviewed",M99="Ready",P99="Passed",X99=1),"Accepted","Pending"),IF(AND(I99="Complete",J99="Reviewed"),"Done","Pending")))</x:f>
        <x:v>Pending</x:v>
      </x:c>
      <x:c r="AH99" s="2" t="str">
        <x:f>IF(AA99="RETIRED","Excluded",IF(OR(AG99="Accepted",AG99="Done"),"Done",IF(ISNUMBER(W99),IF(W99&lt;$N$3,"Overdue","Planned"),"Verify baseline")))</x:f>
        <x:v>Planned</x:v>
      </x:c>
    </x:row>
    <x:row r="100" ht="48" customHeight="1">
      <x:c r="A100" s="17" t="str">
        <x:v>UC-84 · View stocktake list</x:v>
      </x:c>
      <x:c r="B100" s="2" t="str">
        <x:v>FE-08</x:v>
      </x:c>
      <x:c r="C100" s="17" t="str">
        <x:v>bachhm · Stocktake, adjustment and operational reports</x:v>
      </x:c>
      <x:c r="D100" s="2" t="str">
        <x:v>Use case</x:v>
      </x:c>
      <x:c r="E100" s="17" t="str">
        <x:v>Search stocktakes by warehouse, scope, cutoff time, and status.</x:v>
      </x:c>
      <x:c r="F100" s="2" t="str">
        <x:v>Simple</x:v>
      </x:c>
      <x:c r="G100" s="13" t="n">
        <x:f>SUM(AB100:AF100)</x:f>
        <x:v>0.25</x:v>
      </x:c>
      <x:c r="H100" s="2" t="str">
        <x:v>Iteration 1</x:v>
      </x:c>
      <x:c r="I100" s="21" t="str">
        <x:v>To Do</x:v>
      </x:c>
      <x:c r="J100" s="21" t="str">
        <x:v>Review due</x:v>
      </x:c>
      <x:c r="K100" s="2" t="str">
        <x:v>bachhm</x:v>
      </x:c>
      <x:c r="L100" s="4" t="d">
        <x:v>2026-11-27T00:00:00.000Z</x:v>
      </x:c>
      <x:c r="M100" s="21" t="str">
        <x:v>To Do</x:v>
      </x:c>
      <x:c r="N100" s="2" t="str">
        <x:v>trungph</x:v>
      </x:c>
      <x:c r="O100" s="4" t="d">
        <x:v>2026-11-27T00:00:00.000Z</x:v>
      </x:c>
      <x:c r="P100" s="21" t="str">
        <x:v>Not Run</x:v>
      </x:c>
      <x:c r="Q100" s="2" t="str">
        <x:v>trungph</x:v>
      </x:c>
      <x:c r="R100" s="4" t="d">
        <x:v>2026-11-27T00:00:00.000Z</x:v>
      </x:c>
      <x:c r="S100" s="17" t="str">
        <x:v>Complete = FE + API + business rules + authorization + unit tests + peer review + passed integration + synchronized documentation.</x:v>
      </x:c>
      <x:c r="T100" s="2" t="str">
        <x:v>UC-84</x:v>
      </x:c>
      <x:c r="U100" s="2" t="str">
        <x:v>bachhm</x:v>
      </x:c>
      <x:c r="V100" s="4" t="d">
        <x:v>2026-10-26T00:00:00.000Z</x:v>
      </x:c>
      <x:c r="W100" s="4" t="d">
        <x:v>2026-10-30T00:00:00.000Z</x:v>
      </x:c>
      <x:c r="X100" s="22" t="n">
        <x:v>0</x:v>
      </x:c>
      <x:c r="Y100" s="23"/>
      <x:c r="Z100" s="17" t="str">
        <x:v>CORE-01; shared contracts</x:v>
      </x:c>
      <x:c r="AA100" s="2" t="str">
        <x:v>ACTIVE</x:v>
      </x:c>
      <x:c r="AB100" s="23" t="n">
        <x:v>0.25</x:v>
      </x:c>
      <x:c r="AC100" s="23" t="n">
        <x:v>0</x:v>
      </x:c>
      <x:c r="AD100" s="23" t="n">
        <x:v>0</x:v>
      </x:c>
      <x:c r="AE100" s="23" t="n">
        <x:v>0</x:v>
      </x:c>
      <x:c r="AF100" s="23" t="n">
        <x:v>0</x:v>
      </x:c>
      <x:c r="AG100" s="2" t="str">
        <x:f>IF(AA100="RETIRED","Excluded",IF(AA100="ACTIVE",IF(AND(I100="Complete",J100="Reviewed",M100="Ready",P100="Passed",X100=1),"Accepted","Pending"),IF(AND(I100="Complete",J100="Reviewed"),"Done","Pending")))</x:f>
        <x:v>Pending</x:v>
      </x:c>
      <x:c r="AH100" s="2" t="str">
        <x:f>IF(AA100="RETIRED","Excluded",IF(OR(AG100="Accepted",AG100="Done"),"Done",IF(ISNUMBER(W100),IF(W100&lt;$N$3,"Overdue","Planned"),"Verify baseline")))</x:f>
        <x:v>Planned</x:v>
      </x:c>
    </x:row>
    <x:row r="101" ht="48" customHeight="1">
      <x:c r="A101" s="17" t="str">
        <x:v>UC-85 · View stocktake details</x:v>
      </x:c>
      <x:c r="B101" s="2" t="str">
        <x:v>FE-08</x:v>
      </x:c>
      <x:c r="C101" s="17" t="str">
        <x:v>bachhm · Stocktake, adjustment and operational reports</x:v>
      </x:c>
      <x:c r="D101" s="2" t="str">
        <x:v>Use case</x:v>
      </x:c>
      <x:c r="E101" s="17" t="str">
        <x:v>View included lots/locations, system snapshot, counted quantities, and variances.</x:v>
      </x:c>
      <x:c r="F101" s="2" t="str">
        <x:v>Simple</x:v>
      </x:c>
      <x:c r="G101" s="13" t="n">
        <x:f>SUM(AB101:AF101)</x:f>
        <x:v>0.25</x:v>
      </x:c>
      <x:c r="H101" s="2" t="str">
        <x:v>Iteration 1</x:v>
      </x:c>
      <x:c r="I101" s="21" t="str">
        <x:v>To Do</x:v>
      </x:c>
      <x:c r="J101" s="21" t="str">
        <x:v>Review due</x:v>
      </x:c>
      <x:c r="K101" s="2" t="str">
        <x:v>bachhm</x:v>
      </x:c>
      <x:c r="L101" s="4" t="d">
        <x:v>2026-11-27T00:00:00.000Z</x:v>
      </x:c>
      <x:c r="M101" s="21" t="str">
        <x:v>To Do</x:v>
      </x:c>
      <x:c r="N101" s="2" t="str">
        <x:v>trungph</x:v>
      </x:c>
      <x:c r="O101" s="4" t="d">
        <x:v>2026-11-27T00:00:00.000Z</x:v>
      </x:c>
      <x:c r="P101" s="21" t="str">
        <x:v>Not Run</x:v>
      </x:c>
      <x:c r="Q101" s="2" t="str">
        <x:v>trungph</x:v>
      </x:c>
      <x:c r="R101" s="4" t="d">
        <x:v>2026-11-27T00:00:00.000Z</x:v>
      </x:c>
      <x:c r="S101" s="17" t="str">
        <x:v>Complete = FE + API + business rules + authorization + unit tests + peer review + passed integration + synchronized documentation.</x:v>
      </x:c>
      <x:c r="T101" s="2" t="str">
        <x:v>UC-85</x:v>
      </x:c>
      <x:c r="U101" s="2" t="str">
        <x:v>bachhm</x:v>
      </x:c>
      <x:c r="V101" s="4" t="d">
        <x:v>2026-10-26T00:00:00.000Z</x:v>
      </x:c>
      <x:c r="W101" s="4" t="d">
        <x:v>2026-10-30T00:00:00.000Z</x:v>
      </x:c>
      <x:c r="X101" s="22" t="n">
        <x:v>0</x:v>
      </x:c>
      <x:c r="Y101" s="23"/>
      <x:c r="Z101" s="17" t="str">
        <x:v>CORE-01; shared contracts</x:v>
      </x:c>
      <x:c r="AA101" s="2" t="str">
        <x:v>ACTIVE</x:v>
      </x:c>
      <x:c r="AB101" s="23" t="n">
        <x:v>0.25</x:v>
      </x:c>
      <x:c r="AC101" s="23" t="n">
        <x:v>0</x:v>
      </x:c>
      <x:c r="AD101" s="23" t="n">
        <x:v>0</x:v>
      </x:c>
      <x:c r="AE101" s="23" t="n">
        <x:v>0</x:v>
      </x:c>
      <x:c r="AF101" s="23" t="n">
        <x:v>0</x:v>
      </x:c>
      <x:c r="AG101" s="2" t="str">
        <x:f>IF(AA101="RETIRED","Excluded",IF(AA101="ACTIVE",IF(AND(I101="Complete",J101="Reviewed",M101="Ready",P101="Passed",X101=1),"Accepted","Pending"),IF(AND(I101="Complete",J101="Reviewed"),"Done","Pending")))</x:f>
        <x:v>Pending</x:v>
      </x:c>
      <x:c r="AH101" s="2" t="str">
        <x:f>IF(AA101="RETIRED","Excluded",IF(OR(AG101="Accepted",AG101="Done"),"Done",IF(ISNUMBER(W101),IF(W101&lt;$N$3,"Overdue","Planned"),"Verify baseline")))</x:f>
        <x:v>Planned</x:v>
      </x:c>
    </x:row>
    <x:row r="102" ht="48" customHeight="1">
      <x:c r="A102" s="17" t="str">
        <x:v>UC-86 · Create Stocktake Session</x:v>
      </x:c>
      <x:c r="B102" s="2" t="str">
        <x:v>FE-08</x:v>
      </x:c>
      <x:c r="C102" s="17" t="str">
        <x:v>bachhm · Stocktake, adjustment and operational reports</x:v>
      </x:c>
      <x:c r="D102" s="2" t="str">
        <x:v>Use case</x:v>
      </x:c>
      <x:c r="E102" s="17" t="str">
        <x:v>Store Owner plans monthly or targeted stocktakes, scope and counters. Planning does not take a snapshot or post stock; no new automatic scheduling job.</x:v>
      </x:c>
      <x:c r="F102" s="2" t="str">
        <x:v>Medium</x:v>
      </x:c>
      <x:c r="G102" s="13" t="n">
        <x:f>SUM(AB102:AF102)</x:f>
        <x:v>0.75</x:v>
      </x:c>
      <x:c r="H102" s="2" t="str">
        <x:v>Iteration 1</x:v>
      </x:c>
      <x:c r="I102" s="21" t="str">
        <x:v>To Do</x:v>
      </x:c>
      <x:c r="J102" s="21" t="str">
        <x:v>Review due</x:v>
      </x:c>
      <x:c r="K102" s="2" t="str">
        <x:v>bachhm</x:v>
      </x:c>
      <x:c r="L102" s="4" t="d">
        <x:v>2026-11-27T00:00:00.000Z</x:v>
      </x:c>
      <x:c r="M102" s="21" t="str">
        <x:v>To Do</x:v>
      </x:c>
      <x:c r="N102" s="2" t="str">
        <x:v>trungph</x:v>
      </x:c>
      <x:c r="O102" s="4" t="d">
        <x:v>2026-11-27T00:00:00.000Z</x:v>
      </x:c>
      <x:c r="P102" s="21" t="str">
        <x:v>Not Run</x:v>
      </x:c>
      <x:c r="Q102" s="2" t="str">
        <x:v>trungph</x:v>
      </x:c>
      <x:c r="R102" s="4" t="d">
        <x:v>2026-11-27T00:00:00.000Z</x:v>
      </x:c>
      <x:c r="S102" s="17" t="str">
        <x:v>Complete = FE + API + business rules + authorization + unit tests + peer review + passed integration + synchronized documentation.</x:v>
      </x:c>
      <x:c r="T102" s="2" t="str">
        <x:v>UC-86</x:v>
      </x:c>
      <x:c r="U102" s="2" t="str">
        <x:v>bachhm</x:v>
      </x:c>
      <x:c r="V102" s="4" t="d">
        <x:v>2026-10-26T00:00:00.000Z</x:v>
      </x:c>
      <x:c r="W102" s="4" t="d">
        <x:v>2026-10-30T00:00:00.000Z</x:v>
      </x:c>
      <x:c r="X102" s="22" t="n">
        <x:v>0</x:v>
      </x:c>
      <x:c r="Y102" s="23"/>
      <x:c r="Z102" s="17" t="str">
        <x:v>CORE-01; shared contracts</x:v>
      </x:c>
      <x:c r="AA102" s="2" t="str">
        <x:v>ACTIVE</x:v>
      </x:c>
      <x:c r="AB102" s="23" t="n">
        <x:v>0.75</x:v>
      </x:c>
      <x:c r="AC102" s="23" t="n">
        <x:v>0</x:v>
      </x:c>
      <x:c r="AD102" s="23" t="n">
        <x:v>0</x:v>
      </x:c>
      <x:c r="AE102" s="23" t="n">
        <x:v>0</x:v>
      </x:c>
      <x:c r="AF102" s="23" t="n">
        <x:v>0</x:v>
      </x:c>
      <x:c r="AG102" s="2" t="str">
        <x:f>IF(AA102="RETIRED","Excluded",IF(AA102="ACTIVE",IF(AND(I102="Complete",J102="Reviewed",M102="Ready",P102="Passed",X102=1),"Accepted","Pending"),IF(AND(I102="Complete",J102="Reviewed"),"Done","Pending")))</x:f>
        <x:v>Pending</x:v>
      </x:c>
      <x:c r="AH102" s="2" t="str">
        <x:f>IF(AA102="RETIRED","Excluded",IF(OR(AG102="Accepted",AG102="Done"),"Done",IF(ISNUMBER(W102),IF(W102&lt;$N$3,"Overdue","Planned"),"Verify baseline")))</x:f>
        <x:v>Planned</x:v>
      </x:c>
    </x:row>
    <x:row r="103" ht="48" customHeight="1">
      <x:c r="A103" s="17" t="str">
        <x:v>UC-87 · Perform Stocktake Count and Record Results</x:v>
      </x:c>
      <x:c r="B103" s="2" t="str">
        <x:v>FE-08</x:v>
      </x:c>
      <x:c r="C103" s="17" t="str">
        <x:v>bachhm · Stocktake, adjustment and operational reports</x:v>
      </x:c>
      <x:c r="D103" s="2" t="str">
        <x:v>Use case</x:v>
      </x:c>
      <x:c r="E103" s="17" t="str">
        <x:v>Warehouse activates immutable snapshot/freeze, counts and retains attempts. Defects discovered under B1 produce immediate hold/evidence without balance changes.</x:v>
      </x:c>
      <x:c r="F103" s="2" t="str">
        <x:v>Complex</x:v>
      </x:c>
      <x:c r="G103" s="13" t="n">
        <x:f>SUM(AB103:AF103)</x:f>
        <x:v>1.5</x:v>
      </x:c>
      <x:c r="H103" s="2" t="str">
        <x:v>Iteration 1</x:v>
      </x:c>
      <x:c r="I103" s="21" t="str">
        <x:v>To Do</x:v>
      </x:c>
      <x:c r="J103" s="21" t="str">
        <x:v>Review due</x:v>
      </x:c>
      <x:c r="K103" s="2" t="str">
        <x:v>bachhm</x:v>
      </x:c>
      <x:c r="L103" s="4" t="d">
        <x:v>2026-11-27T00:00:00.000Z</x:v>
      </x:c>
      <x:c r="M103" s="21" t="str">
        <x:v>To Do</x:v>
      </x:c>
      <x:c r="N103" s="2" t="str">
        <x:v>trungph</x:v>
      </x:c>
      <x:c r="O103" s="4" t="d">
        <x:v>2026-11-27T00:00:00.000Z</x:v>
      </x:c>
      <x:c r="P103" s="21" t="str">
        <x:v>Not Run</x:v>
      </x:c>
      <x:c r="Q103" s="2" t="str">
        <x:v>trungph</x:v>
      </x:c>
      <x:c r="R103" s="4" t="d">
        <x:v>2026-11-27T00:00:00.000Z</x:v>
      </x:c>
      <x:c r="S103" s="17" t="str">
        <x:v>Complete = FE + API + business rules + authorization + unit tests + peer review + passed integration + synchronized documentation.</x:v>
      </x:c>
      <x:c r="T103" s="2" t="str">
        <x:v>UC-87</x:v>
      </x:c>
      <x:c r="U103" s="2" t="str">
        <x:v>bachhm</x:v>
      </x:c>
      <x:c r="V103" s="4" t="d">
        <x:v>2026-10-26T00:00:00.000Z</x:v>
      </x:c>
      <x:c r="W103" s="4" t="d">
        <x:v>2026-10-30T00:00:00.000Z</x:v>
      </x:c>
      <x:c r="X103" s="22" t="n">
        <x:v>0</x:v>
      </x:c>
      <x:c r="Y103" s="23"/>
      <x:c r="Z103" s="17" t="str">
        <x:v>UC-30; UC-31; freeze/posting contracts</x:v>
      </x:c>
      <x:c r="AA103" s="2" t="str">
        <x:v>ACTIVE</x:v>
      </x:c>
      <x:c r="AB103" s="23" t="n">
        <x:v>1.5</x:v>
      </x:c>
      <x:c r="AC103" s="23" t="n">
        <x:v>0</x:v>
      </x:c>
      <x:c r="AD103" s="23" t="n">
        <x:v>0</x:v>
      </x:c>
      <x:c r="AE103" s="23" t="n">
        <x:v>0</x:v>
      </x:c>
      <x:c r="AF103" s="23" t="n">
        <x:v>0</x:v>
      </x:c>
      <x:c r="AG103" s="2" t="str">
        <x:f>IF(AA103="RETIRED","Excluded",IF(AA103="ACTIVE",IF(AND(I103="Complete",J103="Reviewed",M103="Ready",P103="Passed",X103=1),"Accepted","Pending"),IF(AND(I103="Complete",J103="Reviewed"),"Done","Pending")))</x:f>
        <x:v>Pending</x:v>
      </x:c>
      <x:c r="AH103" s="2" t="str">
        <x:f>IF(AA103="RETIRED","Excluded",IF(OR(AG103="Accepted",AG103="Done"),"Done",IF(ISNUMBER(W103),IF(W103&lt;$N$3,"Overdue","Planned"),"Verify baseline")))</x:f>
        <x:v>Planned</x:v>
      </x:c>
    </x:row>
    <x:row r="104" ht="48" customHeight="1">
      <x:c r="A104" s="17" t="str">
        <x:v>UC-88 · Reconcile Stocktake</x:v>
      </x:c>
      <x:c r="B104" s="2" t="str">
        <x:v>FE-08</x:v>
      </x:c>
      <x:c r="C104" s="17" t="str">
        <x:v>bachhm · Stocktake, adjustment and operational reports</x:v>
      </x:c>
      <x:c r="D104" s="2" t="str">
        <x:v>Use case</x:v>
      </x:c>
      <x:c r="E104" s="17" t="str">
        <x:v>Warehouse compares quantity/quality/location; substantiated variance may proceed directly to plan, while unclear/chosen recount repeats Start/Enter Recount. Quality-only B1 still needs resolution.</x:v>
      </x:c>
      <x:c r="F104" s="2" t="str">
        <x:v>Complex</x:v>
      </x:c>
      <x:c r="G104" s="13" t="n">
        <x:f>SUM(AB104:AF104)</x:f>
        <x:v>1.5</x:v>
      </x:c>
      <x:c r="H104" s="2" t="str">
        <x:v>Iteration 1</x:v>
      </x:c>
      <x:c r="I104" s="21" t="str">
        <x:v>To Do</x:v>
      </x:c>
      <x:c r="J104" s="21" t="str">
        <x:v>Review due</x:v>
      </x:c>
      <x:c r="K104" s="2" t="str">
        <x:v>bachhm</x:v>
      </x:c>
      <x:c r="L104" s="4" t="d">
        <x:v>2026-11-27T00:00:00.000Z</x:v>
      </x:c>
      <x:c r="M104" s="21" t="str">
        <x:v>To Do</x:v>
      </x:c>
      <x:c r="N104" s="2" t="str">
        <x:v>trungph</x:v>
      </x:c>
      <x:c r="O104" s="4" t="d">
        <x:v>2026-11-27T00:00:00.000Z</x:v>
      </x:c>
      <x:c r="P104" s="21" t="str">
        <x:v>Not Run</x:v>
      </x:c>
      <x:c r="Q104" s="2" t="str">
        <x:v>trungph</x:v>
      </x:c>
      <x:c r="R104" s="4" t="d">
        <x:v>2026-11-27T00:00:00.000Z</x:v>
      </x:c>
      <x:c r="S104" s="17" t="str">
        <x:v>Complete = FE + API + business rules + authorization + unit tests + peer review + passed integration + synchronized documentation.</x:v>
      </x:c>
      <x:c r="T104" s="2" t="str">
        <x:v>UC-88</x:v>
      </x:c>
      <x:c r="U104" s="2" t="str">
        <x:v>bachhm</x:v>
      </x:c>
      <x:c r="V104" s="4" t="d">
        <x:v>2026-10-26T00:00:00.000Z</x:v>
      </x:c>
      <x:c r="W104" s="4" t="d">
        <x:v>2026-11-06T00:00:00.000Z</x:v>
      </x:c>
      <x:c r="X104" s="22" t="n">
        <x:v>0</x:v>
      </x:c>
      <x:c r="Y104" s="23"/>
      <x:c r="Z104" s="17" t="str">
        <x:v>UC-30; UC-31; freeze/posting contracts</x:v>
      </x:c>
      <x:c r="AA104" s="2" t="str">
        <x:v>ACTIVE</x:v>
      </x:c>
      <x:c r="AB104" s="23" t="n">
        <x:v>0.75</x:v>
      </x:c>
      <x:c r="AC104" s="23" t="n">
        <x:v>0.75</x:v>
      </x:c>
      <x:c r="AD104" s="23" t="n">
        <x:v>0</x:v>
      </x:c>
      <x:c r="AE104" s="23" t="n">
        <x:v>0</x:v>
      </x:c>
      <x:c r="AF104" s="23" t="n">
        <x:v>0</x:v>
      </x:c>
      <x:c r="AG104" s="2" t="str">
        <x:f>IF(AA104="RETIRED","Excluded",IF(AA104="ACTIVE",IF(AND(I104="Complete",J104="Reviewed",M104="Ready",P104="Passed",X104=1),"Accepted","Pending"),IF(AND(I104="Complete",J104="Reviewed"),"Done","Pending")))</x:f>
        <x:v>Pending</x:v>
      </x:c>
      <x:c r="AH104" s="2" t="str">
        <x:f>IF(AA104="RETIRED","Excluded",IF(OR(AG104="Accepted",AG104="Done"),"Done",IF(ISNUMBER(W104),IF(W104&lt;$N$3,"Overdue","Planned"),"Verify baseline")))</x:f>
        <x:v>Planned</x:v>
      </x:c>
    </x:row>
    <x:row r="105" ht="48" customHeight="1">
      <x:c r="A105" s="17" t="str">
        <x:v>UC-89 · View inventory adjustment request list</x:v>
      </x:c>
      <x:c r="B105" s="2" t="str">
        <x:v>FE-08</x:v>
      </x:c>
      <x:c r="C105" s="17" t="str">
        <x:v>bachhm · Stocktake, adjustment and operational reports</x:v>
      </x:c>
      <x:c r="D105" s="2" t="str">
        <x:v>Use case</x:v>
      </x:c>
      <x:c r="E105" s="17" t="str">
        <x:v>Search by stocktake, lot, location, variance reason, and approval status.</x:v>
      </x:c>
      <x:c r="F105" s="2" t="str">
        <x:v>Simple</x:v>
      </x:c>
      <x:c r="G105" s="13" t="n">
        <x:f>SUM(AB105:AF105)</x:f>
        <x:v>0.25</x:v>
      </x:c>
      <x:c r="H105" s="2" t="str">
        <x:v>Iteration 1</x:v>
      </x:c>
      <x:c r="I105" s="21" t="str">
        <x:v>To Do</x:v>
      </x:c>
      <x:c r="J105" s="21" t="str">
        <x:v>Review due</x:v>
      </x:c>
      <x:c r="K105" s="2" t="str">
        <x:v>bachhm</x:v>
      </x:c>
      <x:c r="L105" s="4" t="d">
        <x:v>2026-11-27T00:00:00.000Z</x:v>
      </x:c>
      <x:c r="M105" s="21" t="str">
        <x:v>To Do</x:v>
      </x:c>
      <x:c r="N105" s="2" t="str">
        <x:v>trungph</x:v>
      </x:c>
      <x:c r="O105" s="4" t="d">
        <x:v>2026-11-27T00:00:00.000Z</x:v>
      </x:c>
      <x:c r="P105" s="21" t="str">
        <x:v>Not Run</x:v>
      </x:c>
      <x:c r="Q105" s="2" t="str">
        <x:v>trungph</x:v>
      </x:c>
      <x:c r="R105" s="4" t="d">
        <x:v>2026-11-27T00:00:00.000Z</x:v>
      </x:c>
      <x:c r="S105" s="17" t="str">
        <x:v>Complete = FE + API + business rules + authorization + unit tests + peer review + passed integration + synchronized documentation.</x:v>
      </x:c>
      <x:c r="T105" s="2" t="str">
        <x:v>UC-89</x:v>
      </x:c>
      <x:c r="U105" s="2" t="str">
        <x:v>bachhm</x:v>
      </x:c>
      <x:c r="V105" s="4" t="d">
        <x:v>2026-11-02T00:00:00.000Z</x:v>
      </x:c>
      <x:c r="W105" s="4" t="d">
        <x:v>2026-11-06T00:00:00.000Z</x:v>
      </x:c>
      <x:c r="X105" s="22" t="n">
        <x:v>0</x:v>
      </x:c>
      <x:c r="Y105" s="23"/>
      <x:c r="Z105" s="17" t="str">
        <x:v>UC-30; UC-31; freeze/posting contracts</x:v>
      </x:c>
      <x:c r="AA105" s="2" t="str">
        <x:v>ACTIVE</x:v>
      </x:c>
      <x:c r="AB105" s="23" t="n">
        <x:v>0</x:v>
      </x:c>
      <x:c r="AC105" s="23" t="n">
        <x:v>0.25</x:v>
      </x:c>
      <x:c r="AD105" s="23" t="n">
        <x:v>0</x:v>
      </x:c>
      <x:c r="AE105" s="23" t="n">
        <x:v>0</x:v>
      </x:c>
      <x:c r="AF105" s="23" t="n">
        <x:v>0</x:v>
      </x:c>
      <x:c r="AG105" s="2" t="str">
        <x:f>IF(AA105="RETIRED","Excluded",IF(AA105="ACTIVE",IF(AND(I105="Complete",J105="Reviewed",M105="Ready",P105="Passed",X105=1),"Accepted","Pending"),IF(AND(I105="Complete",J105="Reviewed"),"Done","Pending")))</x:f>
        <x:v>Pending</x:v>
      </x:c>
      <x:c r="AH105" s="2" t="str">
        <x:f>IF(AA105="RETIRED","Excluded",IF(OR(AG105="Accepted",AG105="Done"),"Done",IF(ISNUMBER(W105),IF(W105&lt;$N$3,"Overdue","Planned"),"Verify baseline")))</x:f>
        <x:v>Planned</x:v>
      </x:c>
    </x:row>
    <x:row r="106" ht="48" customHeight="1">
      <x:c r="A106" s="17" t="str">
        <x:v>UC-90 · View inventory adjustment request details</x:v>
      </x:c>
      <x:c r="B106" s="2" t="str">
        <x:v>FE-08</x:v>
      </x:c>
      <x:c r="C106" s="17" t="str">
        <x:v>bachhm · Stocktake, adjustment and operational reports</x:v>
      </x:c>
      <x:c r="D106" s="2" t="str">
        <x:v>Use case</x:v>
      </x:c>
      <x:c r="E106" s="17" t="str">
        <x:v>Display before/after quantities, cause, creator, evidence, and approval decision.</x:v>
      </x:c>
      <x:c r="F106" s="2" t="str">
        <x:v>Simple</x:v>
      </x:c>
      <x:c r="G106" s="13" t="n">
        <x:f>SUM(AB106:AF106)</x:f>
        <x:v>0.25</x:v>
      </x:c>
      <x:c r="H106" s="2" t="str">
        <x:v>Iteration 1</x:v>
      </x:c>
      <x:c r="I106" s="21" t="str">
        <x:v>To Do</x:v>
      </x:c>
      <x:c r="J106" s="21" t="str">
        <x:v>Review due</x:v>
      </x:c>
      <x:c r="K106" s="2" t="str">
        <x:v>bachhm</x:v>
      </x:c>
      <x:c r="L106" s="4" t="d">
        <x:v>2026-11-27T00:00:00.000Z</x:v>
      </x:c>
      <x:c r="M106" s="21" t="str">
        <x:v>To Do</x:v>
      </x:c>
      <x:c r="N106" s="2" t="str">
        <x:v>trungph</x:v>
      </x:c>
      <x:c r="O106" s="4" t="d">
        <x:v>2026-11-27T00:00:00.000Z</x:v>
      </x:c>
      <x:c r="P106" s="21" t="str">
        <x:v>Not Run</x:v>
      </x:c>
      <x:c r="Q106" s="2" t="str">
        <x:v>trungph</x:v>
      </x:c>
      <x:c r="R106" s="4" t="d">
        <x:v>2026-11-27T00:00:00.000Z</x:v>
      </x:c>
      <x:c r="S106" s="17" t="str">
        <x:v>Complete = FE + API + business rules + authorization + unit tests + peer review + passed integration + synchronized documentation.</x:v>
      </x:c>
      <x:c r="T106" s="2" t="str">
        <x:v>UC-90</x:v>
      </x:c>
      <x:c r="U106" s="2" t="str">
        <x:v>bachhm</x:v>
      </x:c>
      <x:c r="V106" s="4" t="d">
        <x:v>2026-11-02T00:00:00.000Z</x:v>
      </x:c>
      <x:c r="W106" s="4" t="d">
        <x:v>2026-11-06T00:00:00.000Z</x:v>
      </x:c>
      <x:c r="X106" s="22" t="n">
        <x:v>0</x:v>
      </x:c>
      <x:c r="Y106" s="23"/>
      <x:c r="Z106" s="17" t="str">
        <x:v>UC-30; UC-31; freeze/posting contracts</x:v>
      </x:c>
      <x:c r="AA106" s="2" t="str">
        <x:v>ACTIVE</x:v>
      </x:c>
      <x:c r="AB106" s="23" t="n">
        <x:v>0</x:v>
      </x:c>
      <x:c r="AC106" s="23" t="n">
        <x:v>0.25</x:v>
      </x:c>
      <x:c r="AD106" s="23" t="n">
        <x:v>0</x:v>
      </x:c>
      <x:c r="AE106" s="23" t="n">
        <x:v>0</x:v>
      </x:c>
      <x:c r="AF106" s="23" t="n">
        <x:v>0</x:v>
      </x:c>
      <x:c r="AG106" s="2" t="str">
        <x:f>IF(AA106="RETIRED","Excluded",IF(AA106="ACTIVE",IF(AND(I106="Complete",J106="Reviewed",M106="Ready",P106="Passed",X106=1),"Accepted","Pending"),IF(AND(I106="Complete",J106="Reviewed"),"Done","Pending")))</x:f>
        <x:v>Pending</x:v>
      </x:c>
      <x:c r="AH106" s="2" t="str">
        <x:f>IF(AA106="RETIRED","Excluded",IF(OR(AG106="Accepted",AG106="Done"),"Done",IF(ISNUMBER(W106),IF(W106&lt;$N$3,"Overdue","Planned"),"Verify baseline")))</x:f>
        <x:v>Planned</x:v>
      </x:c>
    </x:row>
    <x:row r="107" ht="48" customHeight="1">
      <x:c r="A107" s="17" t="str">
        <x:v>UC-91 · Create Inventory Adjustment Request</x:v>
      </x:c>
      <x:c r="B107" s="2" t="str">
        <x:v>FE-08</x:v>
      </x:c>
      <x:c r="C107" s="17" t="str">
        <x:v>bachhm · Stocktake, adjustment and operational reports</x:v>
      </x:c>
      <x:c r="D107" s="2" t="str">
        <x:v>Use case</x:v>
      </x:c>
      <x:c r="E107" s="17" t="str">
        <x:v>Warehouse proposes B1 stocktake resolution with actual nonzero total delta and separate total-preserving RECLASS/location lines. Quality-only uses ST_RESOLUTION without ADJ=0.</x:v>
      </x:c>
      <x:c r="F107" s="2" t="str">
        <x:v>Complex</x:v>
      </x:c>
      <x:c r="G107" s="13" t="n">
        <x:f>SUM(AB107:AF107)</x:f>
        <x:v>1.5</x:v>
      </x:c>
      <x:c r="H107" s="2" t="str">
        <x:v>Iteration 1</x:v>
      </x:c>
      <x:c r="I107" s="21" t="str">
        <x:v>To Do</x:v>
      </x:c>
      <x:c r="J107" s="21" t="str">
        <x:v>Review due</x:v>
      </x:c>
      <x:c r="K107" s="2" t="str">
        <x:v>bachhm</x:v>
      </x:c>
      <x:c r="L107" s="4" t="d">
        <x:v>2026-11-27T00:00:00.000Z</x:v>
      </x:c>
      <x:c r="M107" s="21" t="str">
        <x:v>To Do</x:v>
      </x:c>
      <x:c r="N107" s="2" t="str">
        <x:v>trungph</x:v>
      </x:c>
      <x:c r="O107" s="4" t="d">
        <x:v>2026-11-27T00:00:00.000Z</x:v>
      </x:c>
      <x:c r="P107" s="21" t="str">
        <x:v>Not Run</x:v>
      </x:c>
      <x:c r="Q107" s="2" t="str">
        <x:v>trungph</x:v>
      </x:c>
      <x:c r="R107" s="4" t="d">
        <x:v>2026-11-27T00:00:00.000Z</x:v>
      </x:c>
      <x:c r="S107" s="17" t="str">
        <x:v>Complete = FE + API + business rules + authorization + unit tests + peer review + passed integration + synchronized documentation.</x:v>
      </x:c>
      <x:c r="T107" s="2" t="str">
        <x:v>UC-91</x:v>
      </x:c>
      <x:c r="U107" s="2" t="str">
        <x:v>bachhm</x:v>
      </x:c>
      <x:c r="V107" s="4" t="d">
        <x:v>2026-11-02T00:00:00.000Z</x:v>
      </x:c>
      <x:c r="W107" s="4" t="d">
        <x:v>2026-11-06T00:00:00.000Z</x:v>
      </x:c>
      <x:c r="X107" s="22" t="n">
        <x:v>0</x:v>
      </x:c>
      <x:c r="Y107" s="23"/>
      <x:c r="Z107" s="17" t="str">
        <x:v>UC-30; UC-31; freeze/posting contracts</x:v>
      </x:c>
      <x:c r="AA107" s="2" t="str">
        <x:v>ACTIVE</x:v>
      </x:c>
      <x:c r="AB107" s="23" t="n">
        <x:v>0</x:v>
      </x:c>
      <x:c r="AC107" s="23" t="n">
        <x:v>1.5</x:v>
      </x:c>
      <x:c r="AD107" s="23" t="n">
        <x:v>0</x:v>
      </x:c>
      <x:c r="AE107" s="23" t="n">
        <x:v>0</x:v>
      </x:c>
      <x:c r="AF107" s="23" t="n">
        <x:v>0</x:v>
      </x:c>
      <x:c r="AG107" s="2" t="str">
        <x:f>IF(AA107="RETIRED","Excluded",IF(AA107="ACTIVE",IF(AND(I107="Complete",J107="Reviewed",M107="Ready",P107="Passed",X107=1),"Accepted","Pending"),IF(AND(I107="Complete",J107="Reviewed"),"Done","Pending")))</x:f>
        <x:v>Pending</x:v>
      </x:c>
      <x:c r="AH107" s="2" t="str">
        <x:f>IF(AA107="RETIRED","Excluded",IF(OR(AG107="Accepted",AG107="Done"),"Done",IF(ISNUMBER(W107),IF(W107&lt;$N$3,"Overdue","Planned"),"Verify baseline")))</x:f>
        <x:v>Planned</x:v>
      </x:c>
    </x:row>
    <x:row r="108" ht="48" customHeight="1">
      <x:c r="A108" s="17" t="str">
        <x:v>UC-92 · Approve Stocktake Resolution</x:v>
      </x:c>
      <x:c r="B108" s="2" t="str">
        <x:v>FE-08</x:v>
      </x:c>
      <x:c r="C108" s="17" t="str">
        <x:v>bachhm · Stocktake, adjustment and operational reports</x:v>
      </x:c>
      <x:c r="D108" s="2" t="str">
        <x:v>Use case</x:v>
      </x:c>
      <x:c r="E108" s="17" t="str">
        <x:v>Owner approves/returns versioned B1 plan including actual delta, RECLASS and controlled locations with distinct requester; approval never bypasses freeze or posts stock.</x:v>
      </x:c>
      <x:c r="F108" s="2" t="str">
        <x:v>Complex</x:v>
      </x:c>
      <x:c r="G108" s="13" t="n">
        <x:f>SUM(AB108:AF108)</x:f>
        <x:v>1.5</x:v>
      </x:c>
      <x:c r="H108" s="2" t="str">
        <x:v>Iteration 2</x:v>
      </x:c>
      <x:c r="I108" s="21" t="str">
        <x:v>To Do</x:v>
      </x:c>
      <x:c r="J108" s="21" t="str">
        <x:v>Review due</x:v>
      </x:c>
      <x:c r="K108" s="2" t="str">
        <x:v>bachhm</x:v>
      </x:c>
      <x:c r="L108" s="4" t="d">
        <x:v>2026-11-27T00:00:00.000Z</x:v>
      </x:c>
      <x:c r="M108" s="21" t="str">
        <x:v>To Do</x:v>
      </x:c>
      <x:c r="N108" s="2" t="str">
        <x:v>trungph</x:v>
      </x:c>
      <x:c r="O108" s="4" t="d">
        <x:v>2026-11-27T00:00:00.000Z</x:v>
      </x:c>
      <x:c r="P108" s="21" t="str">
        <x:v>Not Run</x:v>
      </x:c>
      <x:c r="Q108" s="2" t="str">
        <x:v>trungph</x:v>
      </x:c>
      <x:c r="R108" s="4" t="d">
        <x:v>2026-11-27T00:00:00.000Z</x:v>
      </x:c>
      <x:c r="S108" s="17" t="str">
        <x:v>Complete = FE + API + business rules + authorization + unit tests + peer review + passed integration + synchronized documentation.</x:v>
      </x:c>
      <x:c r="T108" s="2" t="str">
        <x:v>UC-92</x:v>
      </x:c>
      <x:c r="U108" s="2" t="str">
        <x:v>bachhm</x:v>
      </x:c>
      <x:c r="V108" s="4" t="d">
        <x:v>2026-11-02T00:00:00.000Z</x:v>
      </x:c>
      <x:c r="W108" s="4" t="d">
        <x:v>2026-11-13T00:00:00.000Z</x:v>
      </x:c>
      <x:c r="X108" s="22" t="n">
        <x:v>0</x:v>
      </x:c>
      <x:c r="Y108" s="23"/>
      <x:c r="Z108" s="17" t="str">
        <x:v>UC-30; UC-31; freeze/posting contracts</x:v>
      </x:c>
      <x:c r="AA108" s="2" t="str">
        <x:v>ACTIVE</x:v>
      </x:c>
      <x:c r="AB108" s="23" t="n">
        <x:v>0</x:v>
      </x:c>
      <x:c r="AC108" s="23" t="n">
        <x:v>0.25</x:v>
      </x:c>
      <x:c r="AD108" s="23" t="n">
        <x:v>1.25</x:v>
      </x:c>
      <x:c r="AE108" s="23" t="n">
        <x:v>0</x:v>
      </x:c>
      <x:c r="AF108" s="23" t="n">
        <x:v>0</x:v>
      </x:c>
      <x:c r="AG108" s="2" t="str">
        <x:f>IF(AA108="RETIRED","Excluded",IF(AA108="ACTIVE",IF(AND(I108="Complete",J108="Reviewed",M108="Ready",P108="Passed",X108=1),"Accepted","Pending"),IF(AND(I108="Complete",J108="Reviewed"),"Done","Pending")))</x:f>
        <x:v>Pending</x:v>
      </x:c>
      <x:c r="AH108" s="2" t="str">
        <x:f>IF(AA108="RETIRED","Excluded",IF(OR(AG108="Accepted",AG108="Done"),"Done",IF(ISNUMBER(W108),IF(W108&lt;$N$3,"Overdue","Planned"),"Verify baseline")))</x:f>
        <x:v>Planned</x:v>
      </x:c>
    </x:row>
    <x:row r="109" ht="48" customHeight="1">
      <x:c r="A109" s="17" t="str">
        <x:v>UC-93 · Clear Stocktake Difference</x:v>
      </x:c>
      <x:c r="B109" s="2" t="str">
        <x:v>FE-08</x:v>
      </x:c>
      <x:c r="C109" s="17" t="str">
        <x:v>bachhm · Stocktake, adjustment and operational reports</x:v>
      </x:c>
      <x:c r="D109" s="2" t="str">
        <x:v>Use case</x:v>
      </x:c>
      <x:c r="E109" s="17" t="str">
        <x:v>Owner posts one approved B1 closure batch: actual nonzero delta if any plus total-preserving RECLASS/location, after Warehouse execution. Unlock only resolved scope; no ADJ=0.</x:v>
      </x:c>
      <x:c r="F109" s="2" t="str">
        <x:v>Complex</x:v>
      </x:c>
      <x:c r="G109" s="13" t="n">
        <x:f>SUM(AB109:AF109)</x:f>
        <x:v>2</x:v>
      </x:c>
      <x:c r="H109" s="2" t="str">
        <x:v>Iteration 2</x:v>
      </x:c>
      <x:c r="I109" s="21" t="str">
        <x:v>To Do</x:v>
      </x:c>
      <x:c r="J109" s="21" t="str">
        <x:v>Review due</x:v>
      </x:c>
      <x:c r="K109" s="2" t="str">
        <x:v>bachhm</x:v>
      </x:c>
      <x:c r="L109" s="4" t="d">
        <x:v>2026-11-27T00:00:00.000Z</x:v>
      </x:c>
      <x:c r="M109" s="21" t="str">
        <x:v>To Do</x:v>
      </x:c>
      <x:c r="N109" s="2" t="str">
        <x:v>trungph</x:v>
      </x:c>
      <x:c r="O109" s="4" t="d">
        <x:v>2026-11-27T00:00:00.000Z</x:v>
      </x:c>
      <x:c r="P109" s="21" t="str">
        <x:v>Not Run</x:v>
      </x:c>
      <x:c r="Q109" s="2" t="str">
        <x:v>trungph</x:v>
      </x:c>
      <x:c r="R109" s="4" t="d">
        <x:v>2026-11-27T00:00:00.000Z</x:v>
      </x:c>
      <x:c r="S109" s="17" t="str">
        <x:v>Complete = FE + API + business rules + authorization + unit tests + peer review + passed integration + synchronized documentation.</x:v>
      </x:c>
      <x:c r="T109" s="2" t="str">
        <x:v>UC-93</x:v>
      </x:c>
      <x:c r="U109" s="2" t="str">
        <x:v>bachhm</x:v>
      </x:c>
      <x:c r="V109" s="4" t="d">
        <x:v>2026-11-09T00:00:00.000Z</x:v>
      </x:c>
      <x:c r="W109" s="4" t="d">
        <x:v>2026-11-20T00:00:00.000Z</x:v>
      </x:c>
      <x:c r="X109" s="22" t="n">
        <x:v>0</x:v>
      </x:c>
      <x:c r="Y109" s="23"/>
      <x:c r="Z109" s="17" t="str">
        <x:v>UC-65; UC-87–92; atomic posting/rollback</x:v>
      </x:c>
      <x:c r="AA109" s="2" t="str">
        <x:v>ACTIVE</x:v>
      </x:c>
      <x:c r="AB109" s="23" t="n">
        <x:v>0</x:v>
      </x:c>
      <x:c r="AC109" s="23" t="n">
        <x:v>0</x:v>
      </x:c>
      <x:c r="AD109" s="23" t="n">
        <x:v>1.25</x:v>
      </x:c>
      <x:c r="AE109" s="23" t="n">
        <x:v>0.75</x:v>
      </x:c>
      <x:c r="AF109" s="23" t="n">
        <x:v>0</x:v>
      </x:c>
      <x:c r="AG109" s="2" t="str">
        <x:f>IF(AA109="RETIRED","Excluded",IF(AA109="ACTIVE",IF(AND(I109="Complete",J109="Reviewed",M109="Ready",P109="Passed",X109=1),"Accepted","Pending"),IF(AND(I109="Complete",J109="Reviewed"),"Done","Pending")))</x:f>
        <x:v>Pending</x:v>
      </x:c>
      <x:c r="AH109" s="2" t="str">
        <x:f>IF(AA109="RETIRED","Excluded",IF(OR(AG109="Accepted",AG109="Done"),"Done",IF(ISNUMBER(W109),IF(W109&lt;$N$3,"Overdue","Planned"),"Verify baseline")))</x:f>
        <x:v>Planned</x:v>
      </x:c>
    </x:row>
    <x:row r="110" ht="48" customHeight="1">
      <x:c r="A110" s="17" t="str">
        <x:v>UC-94 · Sign in to the system</x:v>
      </x:c>
      <x:c r="B110" s="2" t="str">
        <x:v>FE-09</x:v>
      </x:c>
      <x:c r="C110" s="17" t="str">
        <x:v>bachhm · Stocktake, adjustment and operational reports</x:v>
      </x:c>
      <x:c r="D110" s="2" t="str">
        <x:v>Use case</x:v>
      </x:c>
      <x:c r="E110" s="17" t="str">
        <x:v>Access authorized functions according to the assigned account and role.</x:v>
      </x:c>
      <x:c r="F110" s="2" t="str">
        <x:v>Simple</x:v>
      </x:c>
      <x:c r="G110" s="13" t="n">
        <x:f>SUM(AB110:AF110)</x:f>
        <x:v>0</x:v>
      </x:c>
      <x:c r="H110" s="2" t="str">
        <x:v>Existing</x:v>
      </x:c>
      <x:c r="I110" s="21" t="str">
        <x:v>Reported complete</x:v>
      </x:c>
      <x:c r="J110" s="21" t="str">
        <x:v>Review due</x:v>
      </x:c>
      <x:c r="K110" s="2" t="str">
        <x:v>bachhm</x:v>
      </x:c>
      <x:c r="L110" s="4" t="d">
        <x:v>2026-11-27T00:00:00.000Z</x:v>
      </x:c>
      <x:c r="M110" s="21" t="str">
        <x:v>To Do</x:v>
      </x:c>
      <x:c r="N110" s="2" t="str">
        <x:v>trungph</x:v>
      </x:c>
      <x:c r="O110" s="4" t="d">
        <x:v>2026-11-27T00:00:00.000Z</x:v>
      </x:c>
      <x:c r="P110" s="21" t="str">
        <x:v>Not Run</x:v>
      </x:c>
      <x:c r="Q110" s="2" t="str">
        <x:v>trungph</x:v>
      </x:c>
      <x:c r="R110" s="4" t="d">
        <x:v>2026-11-27T00:00:00.000Z</x:v>
      </x:c>
      <x:c r="S110" s="17" t="str">
        <x:v>Team-reported complete on 26/10; no actual effort or passing tests supplied. Regression and scoped permissions still require evidence.</x:v>
      </x:c>
      <x:c r="T110" s="2" t="str">
        <x:v>UC-94</x:v>
      </x:c>
      <x:c r="U110" s="2" t="str">
        <x:v>bachhm</x:v>
      </x:c>
      <x:c r="V110" s="4"/>
      <x:c r="W110" s="4"/>
      <x:c r="X110" s="22" t="n">
        <x:v>1</x:v>
      </x:c>
      <x:c r="Y110" s="23"/>
      <x:c r="Z110" s="17" t="str">
        <x:v>Shared stock/UOM/permission contracts</x:v>
      </x:c>
      <x:c r="AA110" s="2" t="str">
        <x:v>ACTIVE</x:v>
      </x:c>
      <x:c r="AB110" s="23" t="n">
        <x:v>0</x:v>
      </x:c>
      <x:c r="AC110" s="23" t="n">
        <x:v>0</x:v>
      </x:c>
      <x:c r="AD110" s="23" t="n">
        <x:v>0</x:v>
      </x:c>
      <x:c r="AE110" s="23" t="n">
        <x:v>0</x:v>
      </x:c>
      <x:c r="AF110" s="23" t="n">
        <x:v>0</x:v>
      </x:c>
      <x:c r="AG110" s="2" t="str">
        <x:f>IF(AA110="RETIRED","Excluded",IF(AA110="ACTIVE",IF(AND(I110="Complete",J110="Reviewed",M110="Ready",P110="Passed",X110=1),"Accepted","Pending"),IF(AND(I110="Complete",J110="Reviewed"),"Done","Pending")))</x:f>
        <x:v>Pending</x:v>
      </x:c>
      <x:c r="AH110" s="2" t="str">
        <x:f>IF(AA110="RETIRED","Excluded",IF(OR(AG110="Accepted",AG110="Done"),"Done",IF(ISNUMBER(W110),IF(W110&lt;$N$3,"Overdue","Planned"),"Verify baseline")))</x:f>
        <x:v>Verify baseline</x:v>
      </x:c>
    </x:row>
    <x:row r="111" ht="48" customHeight="1">
      <x:c r="A111" s="17" t="str">
        <x:v>UC-95 · View account list</x:v>
      </x:c>
      <x:c r="B111" s="2" t="str">
        <x:v>FE-09</x:v>
      </x:c>
      <x:c r="C111" s="17" t="str">
        <x:v>bachhm · Stocktake, adjustment and operational reports</x:v>
      </x:c>
      <x:c r="D111" s="2" t="str">
        <x:v>Use case</x:v>
      </x:c>
      <x:c r="E111" s="17" t="str">
        <x:v>Search and filter accounts by name, role, and active status.</x:v>
      </x:c>
      <x:c r="F111" s="2" t="str">
        <x:v>Simple</x:v>
      </x:c>
      <x:c r="G111" s="13" t="n">
        <x:f>SUM(AB111:AF111)</x:f>
        <x:v>0</x:v>
      </x:c>
      <x:c r="H111" s="2" t="str">
        <x:v>Existing</x:v>
      </x:c>
      <x:c r="I111" s="21" t="str">
        <x:v>Reported complete</x:v>
      </x:c>
      <x:c r="J111" s="21" t="str">
        <x:v>Review due</x:v>
      </x:c>
      <x:c r="K111" s="2" t="str">
        <x:v>bachhm</x:v>
      </x:c>
      <x:c r="L111" s="4" t="d">
        <x:v>2026-11-27T00:00:00.000Z</x:v>
      </x:c>
      <x:c r="M111" s="21" t="str">
        <x:v>To Do</x:v>
      </x:c>
      <x:c r="N111" s="2" t="str">
        <x:v>trungph</x:v>
      </x:c>
      <x:c r="O111" s="4" t="d">
        <x:v>2026-11-27T00:00:00.000Z</x:v>
      </x:c>
      <x:c r="P111" s="21" t="str">
        <x:v>Not Run</x:v>
      </x:c>
      <x:c r="Q111" s="2" t="str">
        <x:v>trungph</x:v>
      </x:c>
      <x:c r="R111" s="4" t="d">
        <x:v>2026-11-27T00:00:00.000Z</x:v>
      </x:c>
      <x:c r="S111" s="17" t="str">
        <x:v>Team-reported complete on 26/10; no actual effort or passing tests supplied. Regression and scoped permissions still require evidence.</x:v>
      </x:c>
      <x:c r="T111" s="2" t="str">
        <x:v>UC-95</x:v>
      </x:c>
      <x:c r="U111" s="2" t="str">
        <x:v>bachhm</x:v>
      </x:c>
      <x:c r="V111" s="4"/>
      <x:c r="W111" s="4"/>
      <x:c r="X111" s="22" t="n">
        <x:v>1</x:v>
      </x:c>
      <x:c r="Y111" s="23"/>
      <x:c r="Z111" s="17" t="str">
        <x:v>Shared stock/UOM/permission contracts</x:v>
      </x:c>
      <x:c r="AA111" s="2" t="str">
        <x:v>ACTIVE</x:v>
      </x:c>
      <x:c r="AB111" s="23" t="n">
        <x:v>0</x:v>
      </x:c>
      <x:c r="AC111" s="23" t="n">
        <x:v>0</x:v>
      </x:c>
      <x:c r="AD111" s="23" t="n">
        <x:v>0</x:v>
      </x:c>
      <x:c r="AE111" s="23" t="n">
        <x:v>0</x:v>
      </x:c>
      <x:c r="AF111" s="23" t="n">
        <x:v>0</x:v>
      </x:c>
      <x:c r="AG111" s="2" t="str">
        <x:f>IF(AA111="RETIRED","Excluded",IF(AA111="ACTIVE",IF(AND(I111="Complete",J111="Reviewed",M111="Ready",P111="Passed",X111=1),"Accepted","Pending"),IF(AND(I111="Complete",J111="Reviewed"),"Done","Pending")))</x:f>
        <x:v>Pending</x:v>
      </x:c>
      <x:c r="AH111" s="2" t="str">
        <x:f>IF(AA111="RETIRED","Excluded",IF(OR(AG111="Accepted",AG111="Done"),"Done",IF(ISNUMBER(W111),IF(W111&lt;$N$3,"Overdue","Planned"),"Verify baseline")))</x:f>
        <x:v>Verify baseline</x:v>
      </x:c>
    </x:row>
    <x:row r="112" ht="48" customHeight="1">
      <x:c r="A112" s="17" t="str">
        <x:v>UC-96 · View account details</x:v>
      </x:c>
      <x:c r="B112" s="2" t="str">
        <x:v>FE-09</x:v>
      </x:c>
      <x:c r="C112" s="17" t="str">
        <x:v>bachhm · Stocktake, adjustment and operational reports</x:v>
      </x:c>
      <x:c r="D112" s="2" t="str">
        <x:v>Use case</x:v>
      </x:c>
      <x:c r="E112" s="17" t="str">
        <x:v>Display the selected account's information, assigned role, and status.</x:v>
      </x:c>
      <x:c r="F112" s="2" t="str">
        <x:v>Simple</x:v>
      </x:c>
      <x:c r="G112" s="13" t="n">
        <x:f>SUM(AB112:AF112)</x:f>
        <x:v>0</x:v>
      </x:c>
      <x:c r="H112" s="2" t="str">
        <x:v>Existing</x:v>
      </x:c>
      <x:c r="I112" s="21" t="str">
        <x:v>Reported complete</x:v>
      </x:c>
      <x:c r="J112" s="21" t="str">
        <x:v>Review due</x:v>
      </x:c>
      <x:c r="K112" s="2" t="str">
        <x:v>bachhm</x:v>
      </x:c>
      <x:c r="L112" s="4" t="d">
        <x:v>2026-11-27T00:00:00.000Z</x:v>
      </x:c>
      <x:c r="M112" s="21" t="str">
        <x:v>To Do</x:v>
      </x:c>
      <x:c r="N112" s="2" t="str">
        <x:v>trungph</x:v>
      </x:c>
      <x:c r="O112" s="4" t="d">
        <x:v>2026-11-27T00:00:00.000Z</x:v>
      </x:c>
      <x:c r="P112" s="21" t="str">
        <x:v>Not Run</x:v>
      </x:c>
      <x:c r="Q112" s="2" t="str">
        <x:v>trungph</x:v>
      </x:c>
      <x:c r="R112" s="4" t="d">
        <x:v>2026-11-27T00:00:00.000Z</x:v>
      </x:c>
      <x:c r="S112" s="17" t="str">
        <x:v>Team-reported complete on 26/10; no actual effort or passing tests supplied. Regression and scoped permissions still require evidence.</x:v>
      </x:c>
      <x:c r="T112" s="2" t="str">
        <x:v>UC-96</x:v>
      </x:c>
      <x:c r="U112" s="2" t="str">
        <x:v>bachhm</x:v>
      </x:c>
      <x:c r="V112" s="4"/>
      <x:c r="W112" s="4"/>
      <x:c r="X112" s="22" t="n">
        <x:v>1</x:v>
      </x:c>
      <x:c r="Y112" s="23"/>
      <x:c r="Z112" s="17" t="str">
        <x:v>Shared stock/UOM/permission contracts</x:v>
      </x:c>
      <x:c r="AA112" s="2" t="str">
        <x:v>ACTIVE</x:v>
      </x:c>
      <x:c r="AB112" s="23" t="n">
        <x:v>0</x:v>
      </x:c>
      <x:c r="AC112" s="23" t="n">
        <x:v>0</x:v>
      </x:c>
      <x:c r="AD112" s="23" t="n">
        <x:v>0</x:v>
      </x:c>
      <x:c r="AE112" s="23" t="n">
        <x:v>0</x:v>
      </x:c>
      <x:c r="AF112" s="23" t="n">
        <x:v>0</x:v>
      </x:c>
      <x:c r="AG112" s="2" t="str">
        <x:f>IF(AA112="RETIRED","Excluded",IF(AA112="ACTIVE",IF(AND(I112="Complete",J112="Reviewed",M112="Ready",P112="Passed",X112=1),"Accepted","Pending"),IF(AND(I112="Complete",J112="Reviewed"),"Done","Pending")))</x:f>
        <x:v>Pending</x:v>
      </x:c>
      <x:c r="AH112" s="2" t="str">
        <x:f>IF(AA112="RETIRED","Excluded",IF(OR(AG112="Accepted",AG112="Done"),"Done",IF(ISNUMBER(W112),IF(W112&lt;$N$3,"Overdue","Planned"),"Verify baseline")))</x:f>
        <x:v>Verify baseline</x:v>
      </x:c>
    </x:row>
    <x:row r="113" ht="48" customHeight="1">
      <x:c r="A113" s="17" t="str">
        <x:v>UC-97 · Maintain Staff Account</x:v>
      </x:c>
      <x:c r="B113" s="2" t="str">
        <x:v>FE-09</x:v>
      </x:c>
      <x:c r="C113" s="17" t="str">
        <x:v>bachhm · Stocktake, adjustment and operational reports</x:v>
      </x:c>
      <x:c r="D113" s="2" t="str">
        <x:v>Use case</x:v>
      </x:c>
      <x:c r="E113" s="17" t="str">
        <x:v>Create, update, activate or deactivate staff accounts; role assignment remains separately controlled.</x:v>
      </x:c>
      <x:c r="F113" s="2" t="str">
        <x:v>Simple</x:v>
      </x:c>
      <x:c r="G113" s="13" t="n">
        <x:f>SUM(AB113:AF113)</x:f>
        <x:v>0</x:v>
      </x:c>
      <x:c r="H113" s="2" t="str">
        <x:v>Existing</x:v>
      </x:c>
      <x:c r="I113" s="21" t="str">
        <x:v>Reported complete</x:v>
      </x:c>
      <x:c r="J113" s="21" t="str">
        <x:v>Review due</x:v>
      </x:c>
      <x:c r="K113" s="2" t="str">
        <x:v>bachhm</x:v>
      </x:c>
      <x:c r="L113" s="4" t="d">
        <x:v>2026-11-27T00:00:00.000Z</x:v>
      </x:c>
      <x:c r="M113" s="21" t="str">
        <x:v>To Do</x:v>
      </x:c>
      <x:c r="N113" s="2" t="str">
        <x:v>trungph</x:v>
      </x:c>
      <x:c r="O113" s="4" t="d">
        <x:v>2026-11-27T00:00:00.000Z</x:v>
      </x:c>
      <x:c r="P113" s="21" t="str">
        <x:v>Not Run</x:v>
      </x:c>
      <x:c r="Q113" s="2" t="str">
        <x:v>trungph</x:v>
      </x:c>
      <x:c r="R113" s="4" t="d">
        <x:v>2026-11-27T00:00:00.000Z</x:v>
      </x:c>
      <x:c r="S113" s="17" t="str">
        <x:v>Team-reported complete on 26/10; no actual effort or passing tests supplied. Regression and scoped permissions still require evidence.</x:v>
      </x:c>
      <x:c r="T113" s="2" t="str">
        <x:v>UC-97</x:v>
      </x:c>
      <x:c r="U113" s="2" t="str">
        <x:v>bachhm</x:v>
      </x:c>
      <x:c r="V113" s="4"/>
      <x:c r="W113" s="4"/>
      <x:c r="X113" s="22" t="n">
        <x:v>1</x:v>
      </x:c>
      <x:c r="Y113" s="23"/>
      <x:c r="Z113" s="17" t="str">
        <x:v>Shared stock/UOM/permission contracts</x:v>
      </x:c>
      <x:c r="AA113" s="2" t="str">
        <x:v>ACTIVE</x:v>
      </x:c>
      <x:c r="AB113" s="23" t="n">
        <x:v>0</x:v>
      </x:c>
      <x:c r="AC113" s="23" t="n">
        <x:v>0</x:v>
      </x:c>
      <x:c r="AD113" s="23" t="n">
        <x:v>0</x:v>
      </x:c>
      <x:c r="AE113" s="23" t="n">
        <x:v>0</x:v>
      </x:c>
      <x:c r="AF113" s="23" t="n">
        <x:v>0</x:v>
      </x:c>
      <x:c r="AG113" s="2" t="str">
        <x:f>IF(AA113="RETIRED","Excluded",IF(AA113="ACTIVE",IF(AND(I113="Complete",J113="Reviewed",M113="Ready",P113="Passed",X113=1),"Accepted","Pending"),IF(AND(I113="Complete",J113="Reviewed"),"Done","Pending")))</x:f>
        <x:v>Pending</x:v>
      </x:c>
      <x:c r="AH113" s="2" t="str">
        <x:f>IF(AA113="RETIRED","Excluded",IF(OR(AG113="Accepted",AG113="Done"),"Done",IF(ISNUMBER(W113),IF(W113&lt;$N$3,"Overdue","Planned"),"Verify baseline")))</x:f>
        <x:v>Verify baseline</x:v>
      </x:c>
    </x:row>
    <x:row r="114" ht="48" customHeight="1">
      <x:c r="A114" s="17" t="str">
        <x:v>UC-98 · Assign roles and operation permissions</x:v>
      </x:c>
      <x:c r="B114" s="2" t="str">
        <x:v>FE-09</x:v>
      </x:c>
      <x:c r="C114" s="17" t="str">
        <x:v>bachhm · Stocktake, adjustment and operational reports</x:v>
      </x:c>
      <x:c r="D114" s="2" t="str">
        <x:v>Use case</x:v>
      </x:c>
      <x:c r="E114" s="17" t="str">
        <x:v>Maintain exactly the existing five roles, operation rights and assigned warehouse scope. No purchasing/delivery role, proxy entry or dynamic delegation workflow is introduced. Multiple roles do not permit self-approval.</x:v>
      </x:c>
      <x:c r="F114" s="2" t="str">
        <x:v>Simple</x:v>
      </x:c>
      <x:c r="G114" s="13" t="n">
        <x:f>SUM(AB114:AF114)</x:f>
        <x:v>0</x:v>
      </x:c>
      <x:c r="H114" s="2" t="str">
        <x:v>Existing</x:v>
      </x:c>
      <x:c r="I114" s="21" t="str">
        <x:v>Reported complete</x:v>
      </x:c>
      <x:c r="J114" s="21" t="str">
        <x:v>Review due</x:v>
      </x:c>
      <x:c r="K114" s="2" t="str">
        <x:v>bachhm</x:v>
      </x:c>
      <x:c r="L114" s="4" t="d">
        <x:v>2026-11-27T00:00:00.000Z</x:v>
      </x:c>
      <x:c r="M114" s="21" t="str">
        <x:v>To Do</x:v>
      </x:c>
      <x:c r="N114" s="2" t="str">
        <x:v>trungph</x:v>
      </x:c>
      <x:c r="O114" s="4" t="d">
        <x:v>2026-11-27T00:00:00.000Z</x:v>
      </x:c>
      <x:c r="P114" s="21" t="str">
        <x:v>Not Run</x:v>
      </x:c>
      <x:c r="Q114" s="2" t="str">
        <x:v>trungph</x:v>
      </x:c>
      <x:c r="R114" s="4" t="d">
        <x:v>2026-11-27T00:00:00.000Z</x:v>
      </x:c>
      <x:c r="S114" s="17" t="str">
        <x:v>Team-reported complete on 26/10; no actual effort or passing tests supplied. Regression and scoped permissions still require evidence.</x:v>
      </x:c>
      <x:c r="T114" s="2" t="str">
        <x:v>UC-98</x:v>
      </x:c>
      <x:c r="U114" s="2" t="str">
        <x:v>bachhm</x:v>
      </x:c>
      <x:c r="V114" s="4"/>
      <x:c r="W114" s="4"/>
      <x:c r="X114" s="22" t="n">
        <x:v>1</x:v>
      </x:c>
      <x:c r="Y114" s="23"/>
      <x:c r="Z114" s="17" t="str">
        <x:v>Shared stock/UOM/permission contracts</x:v>
      </x:c>
      <x:c r="AA114" s="2" t="str">
        <x:v>ACTIVE</x:v>
      </x:c>
      <x:c r="AB114" s="23" t="n">
        <x:v>0</x:v>
      </x:c>
      <x:c r="AC114" s="23" t="n">
        <x:v>0</x:v>
      </x:c>
      <x:c r="AD114" s="23" t="n">
        <x:v>0</x:v>
      </x:c>
      <x:c r="AE114" s="23" t="n">
        <x:v>0</x:v>
      </x:c>
      <x:c r="AF114" s="23" t="n">
        <x:v>0</x:v>
      </x:c>
      <x:c r="AG114" s="2" t="str">
        <x:f>IF(AA114="RETIRED","Excluded",IF(AA114="ACTIVE",IF(AND(I114="Complete",J114="Reviewed",M114="Ready",P114="Passed",X114=1),"Accepted","Pending"),IF(AND(I114="Complete",J114="Reviewed"),"Done","Pending")))</x:f>
        <x:v>Pending</x:v>
      </x:c>
      <x:c r="AH114" s="2" t="str">
        <x:f>IF(AA114="RETIRED","Excluded",IF(OR(AG114="Accepted",AG114="Done"),"Done",IF(ISNUMBER(W114),IF(W114&lt;$N$3,"Overdue","Planned"),"Verify baseline")))</x:f>
        <x:v>Verify baseline</x:v>
      </x:c>
    </x:row>
    <x:row r="115" ht="61" customHeight="1">
      <x:c r="A115" s="17" t="str">
        <x:v>UC-99 · View Operational Reports</x:v>
      </x:c>
      <x:c r="B115" s="2" t="str">
        <x:v>FE-09</x:v>
      </x:c>
      <x:c r="C115" s="17" t="str">
        <x:v>bachhm · Stocktake, adjustment and operational reports</x:v>
      </x:c>
      <x:c r="D115" s="2" t="str">
        <x:v>Use case</x:v>
      </x:c>
      <x:c r="E115" s="17" t="str">
        <x:v>Run authorized physical/available/reserved/custody/transit, outstanding receipt/issue, customer-received quantities, DELIVERED pending receipt, COMPLETED/cancelled orders, defect, transfer, return and stocktake reports; no revenue/profit reports.</x:v>
      </x:c>
      <x:c r="F115" s="2" t="str">
        <x:v>Simple</x:v>
      </x:c>
      <x:c r="G115" s="13" t="n">
        <x:f>SUM(AB115:AF115)</x:f>
        <x:v>0.25</x:v>
      </x:c>
      <x:c r="H115" s="2" t="str">
        <x:v>Iteration 2</x:v>
      </x:c>
      <x:c r="I115" s="21" t="str">
        <x:v>To Do</x:v>
      </x:c>
      <x:c r="J115" s="21" t="str">
        <x:v>Review due</x:v>
      </x:c>
      <x:c r="K115" s="2" t="str">
        <x:v>bachhm</x:v>
      </x:c>
      <x:c r="L115" s="4" t="d">
        <x:v>2026-11-27T00:00:00.000Z</x:v>
      </x:c>
      <x:c r="M115" s="21" t="str">
        <x:v>To Do</x:v>
      </x:c>
      <x:c r="N115" s="2" t="str">
        <x:v>trungph</x:v>
      </x:c>
      <x:c r="O115" s="4" t="d">
        <x:v>2026-11-27T00:00:00.000Z</x:v>
      </x:c>
      <x:c r="P115" s="21" t="str">
        <x:v>Not Run</x:v>
      </x:c>
      <x:c r="Q115" s="2" t="str">
        <x:v>trungph</x:v>
      </x:c>
      <x:c r="R115" s="4" t="d">
        <x:v>2026-11-27T00:00:00.000Z</x:v>
      </x:c>
      <x:c r="S115" s="17" t="str">
        <x:v>Complete = FE + API + business rules + authorization + unit tests + peer review + passed integration + synchronized documentation.</x:v>
      </x:c>
      <x:c r="T115" s="2" t="str">
        <x:v>UC-99</x:v>
      </x:c>
      <x:c r="U115" s="2" t="str">
        <x:v>bachhm</x:v>
      </x:c>
      <x:c r="V115" s="4" t="d">
        <x:v>2026-11-16T00:00:00.000Z</x:v>
      </x:c>
      <x:c r="W115" s="4" t="d">
        <x:v>2026-11-20T00:00:00.000Z</x:v>
      </x:c>
      <x:c r="X115" s="22" t="n">
        <x:v>0</x:v>
      </x:c>
      <x:c r="Y115" s="23"/>
      <x:c r="Z115" s="17" t="str">
        <x:v>Shared stock/UOM/permission contracts</x:v>
      </x:c>
      <x:c r="AA115" s="2" t="str">
        <x:v>ACTIVE</x:v>
      </x:c>
      <x:c r="AB115" s="23" t="n">
        <x:v>0</x:v>
      </x:c>
      <x:c r="AC115" s="23" t="n">
        <x:v>0</x:v>
      </x:c>
      <x:c r="AD115" s="23" t="n">
        <x:v>0</x:v>
      </x:c>
      <x:c r="AE115" s="23" t="n">
        <x:v>0.25</x:v>
      </x:c>
      <x:c r="AF115" s="23" t="n">
        <x:v>0</x:v>
      </x:c>
      <x:c r="AG115" s="2" t="str">
        <x:f>IF(AA115="RETIRED","Excluded",IF(AA115="ACTIVE",IF(AND(I115="Complete",J115="Reviewed",M115="Ready",P115="Passed",X115=1),"Accepted","Pending"),IF(AND(I115="Complete",J115="Reviewed"),"Done","Pending")))</x:f>
        <x:v>Pending</x:v>
      </x:c>
      <x:c r="AH115" s="2" t="str">
        <x:f>IF(AA115="RETIRED","Excluded",IF(OR(AG115="Accepted",AG115="Done"),"Done",IF(ISNUMBER(W115),IF(W115&lt;$N$3,"Overdue","Planned"),"Verify baseline")))</x:f>
        <x:v>Planned</x:v>
      </x:c>
    </x:row>
    <x:row r="116" ht="48" customHeight="1">
      <x:c r="A116" s="17" t="str">
        <x:v>UC-100 · View stock movement log</x:v>
      </x:c>
      <x:c r="B116" s="2" t="str">
        <x:v>FE-09</x:v>
      </x:c>
      <x:c r="C116" s="17" t="str">
        <x:v>hieudt · Inventory, relocation and warehouse transfer</x:v>
      </x:c>
      <x:c r="D116" s="2" t="str">
        <x:v>Use case</x:v>
      </x:c>
      <x:c r="E116" s="17" t="str">
        <x:v>Filter movements by product, lot, location, transaction type, and time.</x:v>
      </x:c>
      <x:c r="F116" s="2" t="str">
        <x:v>Simple</x:v>
      </x:c>
      <x:c r="G116" s="13" t="n">
        <x:f>SUM(AB116:AF116)</x:f>
        <x:v>0.25</x:v>
      </x:c>
      <x:c r="H116" s="2" t="str">
        <x:v>Iteration 1</x:v>
      </x:c>
      <x:c r="I116" s="21" t="str">
        <x:v>To Do</x:v>
      </x:c>
      <x:c r="J116" s="21" t="str">
        <x:v>Review due</x:v>
      </x:c>
      <x:c r="K116" s="2" t="str">
        <x:v>hieudt</x:v>
      </x:c>
      <x:c r="L116" s="4" t="d">
        <x:v>2026-11-27T00:00:00.000Z</x:v>
      </x:c>
      <x:c r="M116" s="21" t="str">
        <x:v>To Do</x:v>
      </x:c>
      <x:c r="N116" s="2" t="str">
        <x:v>bachhm</x:v>
      </x:c>
      <x:c r="O116" s="4" t="d">
        <x:v>2026-11-27T00:00:00.000Z</x:v>
      </x:c>
      <x:c r="P116" s="21" t="str">
        <x:v>Not Run</x:v>
      </x:c>
      <x:c r="Q116" s="2" t="str">
        <x:v>bachhm</x:v>
      </x:c>
      <x:c r="R116" s="4" t="d">
        <x:v>2026-11-27T00:00:00.000Z</x:v>
      </x:c>
      <x:c r="S116" s="17" t="str">
        <x:v>Complete = FE + API + business rules + authorization + unit tests + peer review + passed integration + synchronized documentation.</x:v>
      </x:c>
      <x:c r="T116" s="2" t="str">
        <x:v>UC-100</x:v>
      </x:c>
      <x:c r="U116" s="2" t="str">
        <x:v>hieudt</x:v>
      </x:c>
      <x:c r="V116" s="4" t="d">
        <x:v>2026-10-26T00:00:00.000Z</x:v>
      </x:c>
      <x:c r="W116" s="4" t="d">
        <x:v>2026-10-30T00:00:00.000Z</x:v>
      </x:c>
      <x:c r="X116" s="22" t="n">
        <x:v>0</x:v>
      </x:c>
      <x:c r="Y116" s="23"/>
      <x:c r="Z116" s="17" t="str">
        <x:v>CORE-01; shared contracts</x:v>
      </x:c>
      <x:c r="AA116" s="2" t="str">
        <x:v>ACTIVE</x:v>
      </x:c>
      <x:c r="AB116" s="23" t="n">
        <x:v>0.25</x:v>
      </x:c>
      <x:c r="AC116" s="23" t="n">
        <x:v>0</x:v>
      </x:c>
      <x:c r="AD116" s="23" t="n">
        <x:v>0</x:v>
      </x:c>
      <x:c r="AE116" s="23" t="n">
        <x:v>0</x:v>
      </x:c>
      <x:c r="AF116" s="23" t="n">
        <x:v>0</x:v>
      </x:c>
      <x:c r="AG116" s="2" t="str">
        <x:f>IF(AA116="RETIRED","Excluded",IF(AA116="ACTIVE",IF(AND(I116="Complete",J116="Reviewed",M116="Ready",P116="Passed",X116=1),"Accepted","Pending"),IF(AND(I116="Complete",J116="Reviewed"),"Done","Pending")))</x:f>
        <x:v>Pending</x:v>
      </x:c>
      <x:c r="AH116" s="2" t="str">
        <x:f>IF(AA116="RETIRED","Excluded",IF(OR(AG116="Accepted",AG116="Done"),"Done",IF(ISNUMBER(W116),IF(W116&lt;$N$3,"Overdue","Planned"),"Verify baseline")))</x:f>
        <x:v>Planned</x:v>
      </x:c>
    </x:row>
    <x:row r="117" ht="48" customHeight="1">
      <x:c r="A117" s="17" t="str">
        <x:v>UC-101 · View stock movement details</x:v>
      </x:c>
      <x:c r="B117" s="2" t="str">
        <x:v>FE-09</x:v>
      </x:c>
      <x:c r="C117" s="17" t="str">
        <x:v>hieudt · Inventory, relocation and warehouse transfer</x:v>
      </x:c>
      <x:c r="D117" s="2" t="str">
        <x:v>Use case</x:v>
      </x:c>
      <x:c r="E117" s="17" t="str">
        <x:v>Display source document, before/after quantity, operator, time, and reason.</x:v>
      </x:c>
      <x:c r="F117" s="2" t="str">
        <x:v>Simple</x:v>
      </x:c>
      <x:c r="G117" s="13" t="n">
        <x:f>SUM(AB117:AF117)</x:f>
        <x:v>0.25</x:v>
      </x:c>
      <x:c r="H117" s="2" t="str">
        <x:v>Iteration 1</x:v>
      </x:c>
      <x:c r="I117" s="21" t="str">
        <x:v>To Do</x:v>
      </x:c>
      <x:c r="J117" s="21" t="str">
        <x:v>Review due</x:v>
      </x:c>
      <x:c r="K117" s="2" t="str">
        <x:v>hieudt</x:v>
      </x:c>
      <x:c r="L117" s="4" t="d">
        <x:v>2026-11-27T00:00:00.000Z</x:v>
      </x:c>
      <x:c r="M117" s="21" t="str">
        <x:v>To Do</x:v>
      </x:c>
      <x:c r="N117" s="2" t="str">
        <x:v>bachhm</x:v>
      </x:c>
      <x:c r="O117" s="4" t="d">
        <x:v>2026-11-27T00:00:00.000Z</x:v>
      </x:c>
      <x:c r="P117" s="21" t="str">
        <x:v>Not Run</x:v>
      </x:c>
      <x:c r="Q117" s="2" t="str">
        <x:v>bachhm</x:v>
      </x:c>
      <x:c r="R117" s="4" t="d">
        <x:v>2026-11-27T00:00:00.000Z</x:v>
      </x:c>
      <x:c r="S117" s="17" t="str">
        <x:v>Complete = FE + API + business rules + authorization + unit tests + peer review + passed integration + synchronized documentation.</x:v>
      </x:c>
      <x:c r="T117" s="2" t="str">
        <x:v>UC-101</x:v>
      </x:c>
      <x:c r="U117" s="2" t="str">
        <x:v>hieudt</x:v>
      </x:c>
      <x:c r="V117" s="4" t="d">
        <x:v>2026-10-26T00:00:00.000Z</x:v>
      </x:c>
      <x:c r="W117" s="4" t="d">
        <x:v>2026-10-30T00:00:00.000Z</x:v>
      </x:c>
      <x:c r="X117" s="22" t="n">
        <x:v>0</x:v>
      </x:c>
      <x:c r="Y117" s="23"/>
      <x:c r="Z117" s="17" t="str">
        <x:v>CORE-01; shared contracts</x:v>
      </x:c>
      <x:c r="AA117" s="2" t="str">
        <x:v>ACTIVE</x:v>
      </x:c>
      <x:c r="AB117" s="23" t="n">
        <x:v>0.25</x:v>
      </x:c>
      <x:c r="AC117" s="23" t="n">
        <x:v>0</x:v>
      </x:c>
      <x:c r="AD117" s="23" t="n">
        <x:v>0</x:v>
      </x:c>
      <x:c r="AE117" s="23" t="n">
        <x:v>0</x:v>
      </x:c>
      <x:c r="AF117" s="23" t="n">
        <x:v>0</x:v>
      </x:c>
      <x:c r="AG117" s="2" t="str">
        <x:f>IF(AA117="RETIRED","Excluded",IF(AA117="ACTIVE",IF(AND(I117="Complete",J117="Reviewed",M117="Ready",P117="Passed",X117=1),"Accepted","Pending"),IF(AND(I117="Complete",J117="Reviewed"),"Done","Pending")))</x:f>
        <x:v>Pending</x:v>
      </x:c>
      <x:c r="AH117" s="2" t="str">
        <x:f>IF(AA117="RETIRED","Excluded",IF(OR(AG117="Accepted",AG117="Done"),"Done",IF(ISNUMBER(W117),IF(W117&lt;$N$3,"Overdue","Planned"),"Verify baseline")))</x:f>
        <x:v>Planned</x:v>
      </x:c>
    </x:row>
    <x:row r="118" ht="48" customHeight="1">
      <x:c r="A118" s="17" t="str">
        <x:v>UC-102 · Trace a product lot through source documents</x:v>
      </x:c>
      <x:c r="B118" s="2" t="str">
        <x:v>FE-09</x:v>
      </x:c>
      <x:c r="C118" s="17" t="str">
        <x:v>trungph · Defects, customer and supplier returns</x:v>
      </x:c>
      <x:c r="D118" s="2" t="str">
        <x:v>Use case</x:v>
      </x:c>
      <x:c r="E118" s="17" t="str">
        <x:v>Trace lots across external source → SO → WIR → OD → GI-S → POD → PAY-CFM and linked receipts, reservations, movements, returns and adjustments with evidence and user/time history.</x:v>
      </x:c>
      <x:c r="F118" s="2" t="str">
        <x:v>Simple</x:v>
      </x:c>
      <x:c r="G118" s="13" t="n">
        <x:f>SUM(AB118:AF118)</x:f>
        <x:v>0.25</x:v>
      </x:c>
      <x:c r="H118" s="2" t="str">
        <x:v>Iteration 2</x:v>
      </x:c>
      <x:c r="I118" s="21" t="str">
        <x:v>To Do</x:v>
      </x:c>
      <x:c r="J118" s="21" t="str">
        <x:v>Review due</x:v>
      </x:c>
      <x:c r="K118" s="2" t="str">
        <x:v>trungph</x:v>
      </x:c>
      <x:c r="L118" s="4" t="d">
        <x:v>2026-11-27T00:00:00.000Z</x:v>
      </x:c>
      <x:c r="M118" s="21" t="str">
        <x:v>To Do</x:v>
      </x:c>
      <x:c r="N118" s="2" t="str">
        <x:v>danghh</x:v>
      </x:c>
      <x:c r="O118" s="4" t="d">
        <x:v>2026-11-27T00:00:00.000Z</x:v>
      </x:c>
      <x:c r="P118" s="21" t="str">
        <x:v>Not Run</x:v>
      </x:c>
      <x:c r="Q118" s="2" t="str">
        <x:v>danghh</x:v>
      </x:c>
      <x:c r="R118" s="4" t="d">
        <x:v>2026-11-27T00:00:00.000Z</x:v>
      </x:c>
      <x:c r="S118" s="17" t="str">
        <x:v>Complete = FE + API + business rules + authorization + unit tests + peer review + passed integration + synchronized documentation.</x:v>
      </x:c>
      <x:c r="T118" s="2" t="str">
        <x:v>UC-102</x:v>
      </x:c>
      <x:c r="U118" s="2" t="str">
        <x:v>trungph</x:v>
      </x:c>
      <x:c r="V118" s="4" t="d">
        <x:v>2026-11-16T00:00:00.000Z</x:v>
      </x:c>
      <x:c r="W118" s="4" t="d">
        <x:v>2026-11-20T00:00:00.000Z</x:v>
      </x:c>
      <x:c r="X118" s="22" t="n">
        <x:v>0</x:v>
      </x:c>
      <x:c r="Y118" s="23"/>
      <x:c r="Z118" s="17" t="str">
        <x:v>Shared stock/UOM/permission contracts</x:v>
      </x:c>
      <x:c r="AA118" s="2" t="str">
        <x:v>ACTIVE</x:v>
      </x:c>
      <x:c r="AB118" s="23" t="n">
        <x:v>0</x:v>
      </x:c>
      <x:c r="AC118" s="23" t="n">
        <x:v>0</x:v>
      </x:c>
      <x:c r="AD118" s="23" t="n">
        <x:v>0</x:v>
      </x:c>
      <x:c r="AE118" s="23" t="n">
        <x:v>0.25</x:v>
      </x:c>
      <x:c r="AF118" s="23" t="n">
        <x:v>0</x:v>
      </x:c>
      <x:c r="AG118" s="2" t="str">
        <x:f>IF(AA118="RETIRED","Excluded",IF(AA118="ACTIVE",IF(AND(I118="Complete",J118="Reviewed",M118="Ready",P118="Passed",X118=1),"Accepted","Pending"),IF(AND(I118="Complete",J118="Reviewed"),"Done","Pending")))</x:f>
        <x:v>Pending</x:v>
      </x:c>
      <x:c r="AH118" s="2" t="str">
        <x:f>IF(AA118="RETIRED","Excluded",IF(OR(AG118="Accepted",AG118="Done"),"Done",IF(ISNUMBER(W118),IF(W118&lt;$N$3,"Overdue","Planned"),"Verify baseline")))</x:f>
        <x:v>Planned</x:v>
      </x:c>
    </x:row>
    <x:row r="119" ht="48" customHeight="1">
      <x:c r="A119" s="17" t="str">
        <x:v>UC-103 · View and Select Shortage Fulfilment Options</x:v>
      </x:c>
      <x:c r="B119" s="2" t="str">
        <x:v>FE-06</x:v>
      </x:c>
      <x:c r="C119" s="17" t="str">
        <x:v>danghh · Customer, sales order and goods issue</x:v>
      </x:c>
      <x:c r="D119" s="2" t="str">
        <x:v>Use case</x:v>
      </x:c>
      <x:c r="E119" s="17" t="str">
        <x:v>Sales/Warehouse compares compatible available stock by warehouse and selects direct dispatch, physical transfer or replenishment. Link BF-01/04/06; suggestions do not automatically order or post.</x:v>
      </x:c>
      <x:c r="F119" s="2" t="str">
        <x:v>Medium</x:v>
      </x:c>
      <x:c r="G119" s="13" t="n">
        <x:f>SUM(AB119:AF119)</x:f>
        <x:v>1</x:v>
      </x:c>
      <x:c r="H119" s="2" t="str">
        <x:v>Iteration 2</x:v>
      </x:c>
      <x:c r="I119" s="21" t="str">
        <x:v>To Do</x:v>
      </x:c>
      <x:c r="J119" s="21" t="str">
        <x:v>Review due</x:v>
      </x:c>
      <x:c r="K119" s="2" t="str">
        <x:v>danghh</x:v>
      </x:c>
      <x:c r="L119" s="4" t="d">
        <x:v>2026-11-27T00:00:00.000Z</x:v>
      </x:c>
      <x:c r="M119" s="21" t="str">
        <x:v>To Do</x:v>
      </x:c>
      <x:c r="N119" s="2" t="str">
        <x:v>minhtd</x:v>
      </x:c>
      <x:c r="O119" s="4" t="d">
        <x:v>2026-11-27T00:00:00.000Z</x:v>
      </x:c>
      <x:c r="P119" s="21" t="str">
        <x:v>Not Run</x:v>
      </x:c>
      <x:c r="Q119" s="2" t="str">
        <x:v>minhtd</x:v>
      </x:c>
      <x:c r="R119" s="4" t="d">
        <x:v>2026-11-27T00:00:00.000Z</x:v>
      </x:c>
      <x:c r="S119" s="17" t="str">
        <x:v>Complete = FE + API + business rules + authorization + unit tests + peer review + passed integration + synchronized documentation.</x:v>
      </x:c>
      <x:c r="T119" s="2" t="str">
        <x:v>UC-103</x:v>
      </x:c>
      <x:c r="U119" s="2" t="str">
        <x:v>danghh</x:v>
      </x:c>
      <x:c r="V119" s="4" t="d">
        <x:v>2026-11-16T00:00:00.000Z</x:v>
      </x:c>
      <x:c r="W119" s="4" t="d">
        <x:v>2026-11-20T00:00:00.000Z</x:v>
      </x:c>
      <x:c r="X119" s="22" t="n">
        <x:v>0</x:v>
      </x:c>
      <x:c r="Y119" s="23"/>
      <x:c r="Z119" s="17" t="str">
        <x:v>UC-13; UC-30; UC-33; reservation contracts</x:v>
      </x:c>
      <x:c r="AA119" s="2" t="str">
        <x:v>ACTIVE</x:v>
      </x:c>
      <x:c r="AB119" s="23" t="n">
        <x:v>0</x:v>
      </x:c>
      <x:c r="AC119" s="23" t="n">
        <x:v>0</x:v>
      </x:c>
      <x:c r="AD119" s="23" t="n">
        <x:v>0</x:v>
      </x:c>
      <x:c r="AE119" s="23" t="n">
        <x:v>1</x:v>
      </x:c>
      <x:c r="AF119" s="23" t="n">
        <x:v>0</x:v>
      </x:c>
      <x:c r="AG119" s="2" t="str">
        <x:f>IF(AA119="RETIRED","Excluded",IF(AA119="ACTIVE",IF(AND(I119="Complete",J119="Reviewed",M119="Ready",P119="Passed",X119=1),"Accepted","Pending"),IF(AND(I119="Complete",J119="Reviewed"),"Done","Pending")))</x:f>
        <x:v>Pending</x:v>
      </x:c>
      <x:c r="AH119" s="2" t="str">
        <x:f>IF(AA119="RETIRED","Excluded",IF(OR(AG119="Accepted",AG119="Done"),"Done",IF(ISNUMBER(W119),IF(W119&lt;$N$3,"Overdue","Planned"),"Verify baseline")))</x:f>
        <x:v>Planned</x:v>
      </x:c>
    </x:row>
    <x:row r="120" ht="61" customHeight="1">
      <x:c r="A120" s="17" t="str">
        <x:v>UC-104 · Inspect and Post Transfer Receipt</x:v>
      </x:c>
      <x:c r="B120" s="2" t="str">
        <x:v>FE-05</x:v>
      </x:c>
      <x:c r="C120" s="17" t="str">
        <x:v>hieudt · Inventory, relocation and warehouse transfer</x:v>
      </x:c>
      <x:c r="D120" s="2" t="str">
        <x:v>Use case</x:v>
      </x:c>
      <x:c r="E120" s="17" t="str">
        <x:v>Destination Warehouse Staff independently verifies actual quantities against dispatch lines and posts MWTR by quality. Move received quantities from transit to destination, retain demand allocation, put away and keep discrepancies open.</x:v>
      </x:c>
      <x:c r="F120" s="2" t="str">
        <x:v>Complex</x:v>
      </x:c>
      <x:c r="G120" s="13" t="n">
        <x:f>SUM(AB120:AF120)</x:f>
        <x:v>1.5</x:v>
      </x:c>
      <x:c r="H120" s="2" t="str">
        <x:v>Iteration 2</x:v>
      </x:c>
      <x:c r="I120" s="21" t="str">
        <x:v>To Do</x:v>
      </x:c>
      <x:c r="J120" s="21" t="str">
        <x:v>Review due</x:v>
      </x:c>
      <x:c r="K120" s="2" t="str">
        <x:v>hieudt</x:v>
      </x:c>
      <x:c r="L120" s="4" t="d">
        <x:v>2026-11-27T00:00:00.000Z</x:v>
      </x:c>
      <x:c r="M120" s="21" t="str">
        <x:v>To Do</x:v>
      </x:c>
      <x:c r="N120" s="2" t="str">
        <x:v>bachhm</x:v>
      </x:c>
      <x:c r="O120" s="4" t="d">
        <x:v>2026-11-27T00:00:00.000Z</x:v>
      </x:c>
      <x:c r="P120" s="21" t="str">
        <x:v>Not Run</x:v>
      </x:c>
      <x:c r="Q120" s="2" t="str">
        <x:v>bachhm</x:v>
      </x:c>
      <x:c r="R120" s="4" t="d">
        <x:v>2026-11-27T00:00:00.000Z</x:v>
      </x:c>
      <x:c r="S120" s="17" t="str">
        <x:v>Complete = FE + API + business rules + authorization + unit tests + peer review + passed integration + synchronized documentation.</x:v>
      </x:c>
      <x:c r="T120" s="2" t="str">
        <x:v>UC-104</x:v>
      </x:c>
      <x:c r="U120" s="2" t="str">
        <x:v>hieudt</x:v>
      </x:c>
      <x:c r="V120" s="4" t="d">
        <x:v>2026-11-16T00:00:00.000Z</x:v>
      </x:c>
      <x:c r="W120" s="4" t="d">
        <x:v>2026-11-20T00:00:00.000Z</x:v>
      </x:c>
      <x:c r="X120" s="22" t="n">
        <x:v>0</x:v>
      </x:c>
      <x:c r="Y120" s="23"/>
      <x:c r="Z120" s="17" t="str">
        <x:v>Shared stock/UOM/permission contracts</x:v>
      </x:c>
      <x:c r="AA120" s="2" t="str">
        <x:v>ACTIVE</x:v>
      </x:c>
      <x:c r="AB120" s="23" t="n">
        <x:v>0</x:v>
      </x:c>
      <x:c r="AC120" s="23" t="n">
        <x:v>0</x:v>
      </x:c>
      <x:c r="AD120" s="23" t="n">
        <x:v>0</x:v>
      </x:c>
      <x:c r="AE120" s="23" t="n">
        <x:v>1.5</x:v>
      </x:c>
      <x:c r="AF120" s="23" t="n">
        <x:v>0</x:v>
      </x:c>
      <x:c r="AG120" s="2" t="str">
        <x:f>IF(AA120="RETIRED","Excluded",IF(AA120="ACTIVE",IF(AND(I120="Complete",J120="Reviewed",M120="Ready",P120="Passed",X120=1),"Accepted","Pending"),IF(AND(I120="Complete",J120="Reviewed"),"Done","Pending")))</x:f>
        <x:v>Pending</x:v>
      </x:c>
      <x:c r="AH120" s="2" t="str">
        <x:f>IF(AA120="RETIRED","Excluded",IF(OR(AG120="Accepted",AG120="Done"),"Done",IF(ISNUMBER(W120),IF(W120&lt;$N$3,"Overdue","Planned"),"Verify baseline")))</x:f>
        <x:v>Planned</x:v>
      </x:c>
    </x:row>
    <x:row r="121" ht="48" customHeight="1">
      <x:c r="A121" s="17" t="str">
        <x:v>UC-105 · Export or Print Stocktake Count Sheet</x:v>
      </x:c>
      <x:c r="B121" s="2" t="str">
        <x:v>FE-08</x:v>
      </x:c>
      <x:c r="C121" s="17" t="str">
        <x:v>bachhm · Stocktake, adjustment and operational reports</x:v>
      </x:c>
      <x:c r="D121" s="2" t="str">
        <x:v>Use case</x:v>
      </x:c>
      <x:c r="E121" s="17" t="str">
        <x:v>Warehouse Staff/Owner obtains the activated session's snapshot-based list by location/lot/quality, with cutoff and space for counts and newly found items. Printing does not post stock.</x:v>
      </x:c>
      <x:c r="F121" s="2" t="str">
        <x:v>Medium</x:v>
      </x:c>
      <x:c r="G121" s="13" t="n">
        <x:f>SUM(AB121:AF121)</x:f>
        <x:v>1</x:v>
      </x:c>
      <x:c r="H121" s="2" t="str">
        <x:v>Iteration 2</x:v>
      </x:c>
      <x:c r="I121" s="21" t="str">
        <x:v>To Do</x:v>
      </x:c>
      <x:c r="J121" s="21" t="str">
        <x:v>Review due</x:v>
      </x:c>
      <x:c r="K121" s="2" t="str">
        <x:v>bachhm</x:v>
      </x:c>
      <x:c r="L121" s="4" t="d">
        <x:v>2026-11-27T00:00:00.000Z</x:v>
      </x:c>
      <x:c r="M121" s="21" t="str">
        <x:v>To Do</x:v>
      </x:c>
      <x:c r="N121" s="2" t="str">
        <x:v>trungph</x:v>
      </x:c>
      <x:c r="O121" s="4" t="d">
        <x:v>2026-11-27T00:00:00.000Z</x:v>
      </x:c>
      <x:c r="P121" s="21" t="str">
        <x:v>Not Run</x:v>
      </x:c>
      <x:c r="Q121" s="2" t="str">
        <x:v>trungph</x:v>
      </x:c>
      <x:c r="R121" s="4" t="d">
        <x:v>2026-11-27T00:00:00.000Z</x:v>
      </x:c>
      <x:c r="S121" s="17" t="str">
        <x:v>Complete = FE + API + business rules + authorization + unit tests + peer review + passed integration + synchronized documentation.</x:v>
      </x:c>
      <x:c r="T121" s="2" t="str">
        <x:v>UC-105</x:v>
      </x:c>
      <x:c r="U121" s="2" t="str">
        <x:v>bachhm</x:v>
      </x:c>
      <x:c r="V121" s="4" t="d">
        <x:v>2026-11-16T00:00:00.000Z</x:v>
      </x:c>
      <x:c r="W121" s="4" t="d">
        <x:v>2026-11-20T00:00:00.000Z</x:v>
      </x:c>
      <x:c r="X121" s="22" t="n">
        <x:v>0</x:v>
      </x:c>
      <x:c r="Y121" s="23"/>
      <x:c r="Z121" s="17" t="str">
        <x:v>Shared stock/UOM/permission contracts</x:v>
      </x:c>
      <x:c r="AA121" s="2" t="str">
        <x:v>ACTIVE</x:v>
      </x:c>
      <x:c r="AB121" s="23" t="n">
        <x:v>0</x:v>
      </x:c>
      <x:c r="AC121" s="23" t="n">
        <x:v>0</x:v>
      </x:c>
      <x:c r="AD121" s="23" t="n">
        <x:v>0</x:v>
      </x:c>
      <x:c r="AE121" s="23" t="n">
        <x:v>1</x:v>
      </x:c>
      <x:c r="AF121" s="23" t="n">
        <x:v>0</x:v>
      </x:c>
      <x:c r="AG121" s="2" t="str">
        <x:f>IF(AA121="RETIRED","Excluded",IF(AA121="ACTIVE",IF(AND(I121="Complete",J121="Reviewed",M121="Ready",P121="Passed",X121=1),"Accepted","Pending"),IF(AND(I121="Complete",J121="Reviewed"),"Done","Pending")))</x:f>
        <x:v>Pending</x:v>
      </x:c>
      <x:c r="AH121" s="2" t="str">
        <x:f>IF(AA121="RETIRED","Excluded",IF(OR(AG121="Accepted",AG121="Done"),"Done",IF(ISNUMBER(W121),IF(W121&lt;$N$3,"Overdue","Planned"),"Verify baseline")))</x:f>
        <x:v>Planned</x:v>
      </x:c>
    </x:row>
    <x:row r="122" ht="48" customHeight="1">
      <x:c r="A122" s="17" t="str">
        <x:v>UC-106 · Approve Supplier Return and Variance Resolution</x:v>
      </x:c>
      <x:c r="B122" s="2" t="str">
        <x:v>FE-07</x:v>
      </x:c>
      <x:c r="C122" s="17" t="str">
        <x:v>Retired history</x:v>
      </x:c>
      <x:c r="D122" s="2" t="str">
        <x:v>Use case</x:v>
      </x:c>
      <x:c r="E122" s="17" t="str">
        <x:v>Retired 24 October 2026: no Owner BF-08 approval, permission, screen action or route. Retain ID/history; Accountant UC-107 reconciles and UC-83 closes; Warehouse UC-82 dispatches.</x:v>
      </x:c>
      <x:c r="F122" s="2" t="str">
        <x:v>Simple</x:v>
      </x:c>
      <x:c r="G122" s="13" t="n">
        <x:f>SUM(AB122:AF122)</x:f>
        <x:v>0</x:v>
      </x:c>
      <x:c r="H122" s="2" t="str">
        <x:v>Excluded</x:v>
      </x:c>
      <x:c r="I122" s="21" t="str">
        <x:v>Retired</x:v>
      </x:c>
      <x:c r="J122" s="21" t="str">
        <x:v>Retired</x:v>
      </x:c>
      <x:c r="K122" s="2"/>
      <x:c r="L122" s="4"/>
      <x:c r="M122" s="21" t="str">
        <x:v>N/A</x:v>
      </x:c>
      <x:c r="N122" s="2"/>
      <x:c r="O122" s="4"/>
      <x:c r="P122" s="21" t="str">
        <x:v>N/A</x:v>
      </x:c>
      <x:c r="Q122" s="2"/>
      <x:c r="R122" s="4"/>
      <x:c r="S122" s="17" t="str">
        <x:v>Historical ID only; no active route, permission, screen action or delivery effort.</x:v>
      </x:c>
      <x:c r="T122" s="2" t="str">
        <x:v>UC-106</x:v>
      </x:c>
      <x:c r="U122" s="2"/>
      <x:c r="V122" s="4"/>
      <x:c r="W122" s="4" t="d">
        <x:v>2026-11-13T00:00:00.000Z</x:v>
      </x:c>
      <x:c r="X122" s="22"/>
      <x:c r="Y122" s="23"/>
      <x:c r="Z122" s="17" t="str">
        <x:v>UC-26; UC-58; shared stock/source contracts</x:v>
      </x:c>
      <x:c r="AA122" s="2" t="str">
        <x:v>RETIRED</x:v>
      </x:c>
      <x:c r="AB122" s="23" t="n">
        <x:v>0</x:v>
      </x:c>
      <x:c r="AC122" s="23" t="n">
        <x:v>0</x:v>
      </x:c>
      <x:c r="AD122" s="23" t="n">
        <x:v>0</x:v>
      </x:c>
      <x:c r="AE122" s="23" t="n">
        <x:v>0</x:v>
      </x:c>
      <x:c r="AF122" s="23" t="n">
        <x:v>0</x:v>
      </x:c>
      <x:c r="AG122" s="2" t="str">
        <x:f>IF(AA122="RETIRED","Excluded",IF(AA122="ACTIVE",IF(AND(I122="Complete",J122="Reviewed",M122="Ready",P122="Passed",X122=1),"Accepted","Pending"),IF(AND(I122="Complete",J122="Reviewed"),"Done","Pending")))</x:f>
        <x:v>Excluded</x:v>
      </x:c>
      <x:c r="AH122" s="2" t="str">
        <x:f>IF(AA122="RETIRED","Excluded",IF(OR(AG122="Accepted",AG122="Done"),"Done",IF(ISNUMBER(W122),IF(W122&lt;$N$3,"Overdue","Planned"),"Verify baseline")))</x:f>
        <x:v>Excluded</x:v>
      </x:c>
    </x:row>
    <x:row r="123" ht="43" customHeight="1">
      <x:c r="A123" s="17" t="str">
        <x:v>UC-107 · Record Supplier Agreement and Receipt Acknowledgement</x:v>
      </x:c>
      <x:c r="B123" s="2" t="str">
        <x:v>FE-07</x:v>
      </x:c>
      <x:c r="C123" s="17" t="str">
        <x:v>trungph · Defects, customer and supplier returns</x:v>
      </x:c>
      <x:c r="D123" s="2" t="str">
        <x:v>Use case</x:v>
      </x:c>
      <x:c r="E123" s="17" t="str">
        <x:v>Accountant verifies pre-dispatch agreement and separately records later ACK, reconciles variances and closes through UC-83 without Owner/UC-106.</x:v>
      </x:c>
      <x:c r="F123" s="2" t="str">
        <x:v>Medium</x:v>
      </x:c>
      <x:c r="G123" s="13" t="n">
        <x:f>SUM(AB123:AF123)</x:f>
        <x:v>1</x:v>
      </x:c>
      <x:c r="H123" s="2" t="str">
        <x:v>Iteration 3</x:v>
      </x:c>
      <x:c r="I123" s="21" t="str">
        <x:v>To Do</x:v>
      </x:c>
      <x:c r="J123" s="21" t="str">
        <x:v>Review due</x:v>
      </x:c>
      <x:c r="K123" s="2" t="str">
        <x:v>trungph</x:v>
      </x:c>
      <x:c r="L123" s="4" t="d">
        <x:v>2026-11-27T00:00:00.000Z</x:v>
      </x:c>
      <x:c r="M123" s="21" t="str">
        <x:v>To Do</x:v>
      </x:c>
      <x:c r="N123" s="2" t="str">
        <x:v>danghh</x:v>
      </x:c>
      <x:c r="O123" s="4" t="d">
        <x:v>2026-11-27T00:00:00.000Z</x:v>
      </x:c>
      <x:c r="P123" s="21" t="str">
        <x:v>Not Run</x:v>
      </x:c>
      <x:c r="Q123" s="2" t="str">
        <x:v>danghh</x:v>
      </x:c>
      <x:c r="R123" s="4" t="d">
        <x:v>2026-11-27T00:00:00.000Z</x:v>
      </x:c>
      <x:c r="S123" s="17" t="str">
        <x:v>Complete = FE + API + business rules + authorization + unit tests + peer review + passed integration + synchronized documentation.</x:v>
      </x:c>
      <x:c r="T123" s="2" t="str">
        <x:v>UC-107</x:v>
      </x:c>
      <x:c r="U123" s="2" t="str">
        <x:v>trungph</x:v>
      </x:c>
      <x:c r="V123" s="4" t="d">
        <x:v>2026-11-16T00:00:00.000Z</x:v>
      </x:c>
      <x:c r="W123" s="4" t="d">
        <x:v>2026-11-27T00:00:00.000Z</x:v>
      </x:c>
      <x:c r="X123" s="22" t="n">
        <x:v>0</x:v>
      </x:c>
      <x:c r="Y123" s="23"/>
      <x:c r="Z123" s="17" t="str">
        <x:v>UC-26; UC-58; shared stock/source contracts</x:v>
      </x:c>
      <x:c r="AA123" s="2" t="str">
        <x:v>ACTIVE</x:v>
      </x:c>
      <x:c r="AB123" s="23" t="n">
        <x:v>0</x:v>
      </x:c>
      <x:c r="AC123" s="23" t="n">
        <x:v>0</x:v>
      </x:c>
      <x:c r="AD123" s="23" t="n">
        <x:v>0</x:v>
      </x:c>
      <x:c r="AE123" s="23" t="n">
        <x:v>0.75</x:v>
      </x:c>
      <x:c r="AF123" s="23" t="n">
        <x:v>0.25</x:v>
      </x:c>
      <x:c r="AG123" s="2" t="str">
        <x:f>IF(AA123="RETIRED","Excluded",IF(AA123="ACTIVE",IF(AND(I123="Complete",J123="Reviewed",M123="Ready",P123="Passed",X123=1),"Accepted","Pending"),IF(AND(I123="Complete",J123="Reviewed"),"Done","Pending")))</x:f>
        <x:v>Pending</x:v>
      </x:c>
      <x:c r="AH123" s="2" t="str">
        <x:f>IF(AA123="RETIRED","Excluded",IF(OR(AG123="Accepted",AG123="Done"),"Done",IF(ISNUMBER(W123),IF(W123&lt;$N$3,"Overdue","Planned"),"Verify baseline")))</x:f>
        <x:v>Planned</x:v>
      </x:c>
    </x:row>
    <x:row r="124" ht="61" customHeight="1">
      <x:c r="A124" s="17" t="str">
        <x:v>UC-108 · Record External Document References</x:v>
      </x:c>
      <x:c r="B124" s="2" t="str">
        <x:v>FE-09</x:v>
      </x:c>
      <x:c r="C124" s="17" t="str">
        <x:v>trungph · Defects, customer and supplier returns</x:v>
      </x:c>
      <x:c r="D124" s="2" t="str">
        <x:v>Use case</x:v>
      </x:c>
      <x:c r="E124" s="17" t="str">
        <x:v>Accountant verifies historical delivered sources and records external Invoice/Credit Note/refund/reconciliation kind, number/date, purchase/GI-SR source, matched quantity, evidence and status independently of warehouse closure.</x:v>
      </x:c>
      <x:c r="F124" s="2" t="str">
        <x:v>Medium</x:v>
      </x:c>
      <x:c r="G124" s="13" t="n">
        <x:f>SUM(AB124:AF124)</x:f>
        <x:v>1</x:v>
      </x:c>
      <x:c r="H124" s="2" t="str">
        <x:v>Iteration 3</x:v>
      </x:c>
      <x:c r="I124" s="21" t="str">
        <x:v>To Do</x:v>
      </x:c>
      <x:c r="J124" s="21" t="str">
        <x:v>Review due</x:v>
      </x:c>
      <x:c r="K124" s="2" t="str">
        <x:v>trungph</x:v>
      </x:c>
      <x:c r="L124" s="4" t="d">
        <x:v>2026-11-27T00:00:00.000Z</x:v>
      </x:c>
      <x:c r="M124" s="21" t="str">
        <x:v>To Do</x:v>
      </x:c>
      <x:c r="N124" s="2" t="str">
        <x:v>danghh</x:v>
      </x:c>
      <x:c r="O124" s="4" t="d">
        <x:v>2026-11-27T00:00:00.000Z</x:v>
      </x:c>
      <x:c r="P124" s="21" t="str">
        <x:v>Not Run</x:v>
      </x:c>
      <x:c r="Q124" s="2" t="str">
        <x:v>danghh</x:v>
      </x:c>
      <x:c r="R124" s="4" t="d">
        <x:v>2026-11-27T00:00:00.000Z</x:v>
      </x:c>
      <x:c r="S124" s="17" t="str">
        <x:v>Complete = FE + API + business rules + authorization + unit tests + peer review + passed integration + synchronized documentation.</x:v>
      </x:c>
      <x:c r="T124" s="2" t="str">
        <x:v>UC-108</x:v>
      </x:c>
      <x:c r="U124" s="2" t="str">
        <x:v>trungph</x:v>
      </x:c>
      <x:c r="V124" s="4" t="d">
        <x:v>2026-11-23T00:00:00.000Z</x:v>
      </x:c>
      <x:c r="W124" s="4" t="d">
        <x:v>2026-11-27T00:00:00.000Z</x:v>
      </x:c>
      <x:c r="X124" s="22" t="n">
        <x:v>0</x:v>
      </x:c>
      <x:c r="Y124" s="23"/>
      <x:c r="Z124" s="17" t="str">
        <x:v>Shared stock/UOM/permission contracts</x:v>
      </x:c>
      <x:c r="AA124" s="2" t="str">
        <x:v>ACTIVE</x:v>
      </x:c>
      <x:c r="AB124" s="23" t="n">
        <x:v>0</x:v>
      </x:c>
      <x:c r="AC124" s="23" t="n">
        <x:v>0</x:v>
      </x:c>
      <x:c r="AD124" s="23" t="n">
        <x:v>0</x:v>
      </x:c>
      <x:c r="AE124" s="23" t="n">
        <x:v>0</x:v>
      </x:c>
      <x:c r="AF124" s="23" t="n">
        <x:v>1</x:v>
      </x:c>
      <x:c r="AG124" s="2" t="str">
        <x:f>IF(AA124="RETIRED","Excluded",IF(AA124="ACTIVE",IF(AND(I124="Complete",J124="Reviewed",M124="Ready",P124="Passed",X124=1),"Accepted","Pending"),IF(AND(I124="Complete",J124="Reviewed"),"Done","Pending")))</x:f>
        <x:v>Pending</x:v>
      </x:c>
      <x:c r="AH124" s="2" t="str">
        <x:f>IF(AA124="RETIRED","Excluded",IF(OR(AG124="Accepted",AG124="Done"),"Done",IF(ISNUMBER(W124),IF(W124&lt;$N$3,"Overdue","Planned"),"Verify baseline")))</x:f>
        <x:v>Planned</x:v>
      </x:c>
    </x:row>
    <x:row r="125" ht="48" customHeight="1">
      <x:c r="A125" s="17" t="str">
        <x:v>UC-109 · Manage Linked Warehouse Issue Request</x:v>
      </x:c>
      <x:c r="B125" s="2" t="str">
        <x:v>FE-06</x:v>
      </x:c>
      <x:c r="C125" s="17" t="str">
        <x:v>danghh · Customer, sales order and goods issue</x:v>
      </x:c>
      <x:c r="D125" s="2" t="str">
        <x:v>Use case</x:v>
      </x:c>
      <x:c r="E125" s="17" t="str">
        <x:v>Sales manages original SO-linked WIR and net reopened demand after posted GR-FD. Reuse original SO/WIR and source versions; replacement OD commitment is transferred, not new demand.</x:v>
      </x:c>
      <x:c r="F125" s="2" t="str">
        <x:v>Complex</x:v>
      </x:c>
      <x:c r="G125" s="13" t="n">
        <x:f>SUM(AB125:AF125)</x:f>
        <x:v>1.5</x:v>
      </x:c>
      <x:c r="H125" s="2" t="str">
        <x:v>Iteration 2</x:v>
      </x:c>
      <x:c r="I125" s="21" t="str">
        <x:v>To Do</x:v>
      </x:c>
      <x:c r="J125" s="21" t="str">
        <x:v>Review due</x:v>
      </x:c>
      <x:c r="K125" s="2" t="str">
        <x:v>danghh</x:v>
      </x:c>
      <x:c r="L125" s="4" t="d">
        <x:v>2026-11-27T00:00:00.000Z</x:v>
      </x:c>
      <x:c r="M125" s="21" t="str">
        <x:v>To Do</x:v>
      </x:c>
      <x:c r="N125" s="2" t="str">
        <x:v>minhtd</x:v>
      </x:c>
      <x:c r="O125" s="4" t="d">
        <x:v>2026-11-27T00:00:00.000Z</x:v>
      </x:c>
      <x:c r="P125" s="21" t="str">
        <x:v>Not Run</x:v>
      </x:c>
      <x:c r="Q125" s="2" t="str">
        <x:v>minhtd</x:v>
      </x:c>
      <x:c r="R125" s="4" t="d">
        <x:v>2026-11-27T00:00:00.000Z</x:v>
      </x:c>
      <x:c r="S125" s="17" t="str">
        <x:v>Complete = FE + API + business rules + authorization + unit tests + peer review + passed integration + synchronized documentation.</x:v>
      </x:c>
      <x:c r="T125" s="2" t="str">
        <x:v>UC-109</x:v>
      </x:c>
      <x:c r="U125" s="2" t="str">
        <x:v>danghh</x:v>
      </x:c>
      <x:c r="V125" s="4" t="d">
        <x:v>2026-11-16T00:00:00.000Z</x:v>
      </x:c>
      <x:c r="W125" s="4" t="d">
        <x:v>2026-11-20T00:00:00.000Z</x:v>
      </x:c>
      <x:c r="X125" s="22" t="n">
        <x:v>0</x:v>
      </x:c>
      <x:c r="Y125" s="23"/>
      <x:c r="Z125" s="17" t="str">
        <x:v>UC-13; UC-30; UC-33; reservation contracts</x:v>
      </x:c>
      <x:c r="AA125" s="2" t="str">
        <x:v>ACTIVE</x:v>
      </x:c>
      <x:c r="AB125" s="23" t="n">
        <x:v>0</x:v>
      </x:c>
      <x:c r="AC125" s="23" t="n">
        <x:v>0</x:v>
      </x:c>
      <x:c r="AD125" s="23" t="n">
        <x:v>0</x:v>
      </x:c>
      <x:c r="AE125" s="23" t="n">
        <x:v>1.5</x:v>
      </x:c>
      <x:c r="AF125" s="23" t="n">
        <x:v>0</x:v>
      </x:c>
      <x:c r="AG125" s="2" t="str">
        <x:f>IF(AA125="RETIRED","Excluded",IF(AA125="ACTIVE",IF(AND(I125="Complete",J125="Reviewed",M125="Ready",P125="Passed",X125=1),"Accepted","Pending"),IF(AND(I125="Complete",J125="Reviewed"),"Done","Pending")))</x:f>
        <x:v>Pending</x:v>
      </x:c>
      <x:c r="AH125" s="2" t="str">
        <x:f>IF(AA125="RETIRED","Excluded",IF(OR(AG125="Accepted",AG125="Done"),"Done",IF(ISNUMBER(W125),IF(W125&lt;$N$3,"Overdue","Planned"),"Verify baseline")))</x:f>
        <x:v>Planned</x:v>
      </x:c>
    </x:row>
    <x:row r="126" ht="48" customHeight="1">
      <x:c r="A126" s="17" t="str">
        <x:v>UC-110 · Confirm Customer Delivery with Photo Evidence</x:v>
      </x:c>
      <x:c r="B126" s="2" t="str">
        <x:v>FE-06</x:v>
      </x:c>
      <x:c r="C126" s="17" t="str">
        <x:v>danghh · Customer, sales order and goods issue</x:v>
      </x:c>
      <x:c r="D126" s="2" t="str">
        <x:v>Use case</x:v>
      </x:c>
      <x:c r="E126" s="17" t="str">
        <x:v>Assigned Warehouse confirms actual customer receipt against valid posted GI-S with photo. Share source cap with FD/GR-FD; received quantity uses CR for later return.</x:v>
      </x:c>
      <x:c r="F126" s="2" t="str">
        <x:v>Medium</x:v>
      </x:c>
      <x:c r="G126" s="13" t="n">
        <x:f>SUM(AB126:AF126)</x:f>
        <x:v>1</x:v>
      </x:c>
      <x:c r="H126" s="2" t="str">
        <x:v>Iteration 3</x:v>
      </x:c>
      <x:c r="I126" s="21" t="str">
        <x:v>To Do</x:v>
      </x:c>
      <x:c r="J126" s="21" t="str">
        <x:v>Review due</x:v>
      </x:c>
      <x:c r="K126" s="2" t="str">
        <x:v>danghh</x:v>
      </x:c>
      <x:c r="L126" s="4" t="d">
        <x:v>2026-11-27T00:00:00.000Z</x:v>
      </x:c>
      <x:c r="M126" s="21" t="str">
        <x:v>To Do</x:v>
      </x:c>
      <x:c r="N126" s="2" t="str">
        <x:v>minhtd</x:v>
      </x:c>
      <x:c r="O126" s="4" t="d">
        <x:v>2026-11-27T00:00:00.000Z</x:v>
      </x:c>
      <x:c r="P126" s="21" t="str">
        <x:v>Not Run</x:v>
      </x:c>
      <x:c r="Q126" s="2" t="str">
        <x:v>minhtd</x:v>
      </x:c>
      <x:c r="R126" s="4" t="d">
        <x:v>2026-11-27T00:00:00.000Z</x:v>
      </x:c>
      <x:c r="S126" s="17" t="str">
        <x:v>Complete = FE + API + business rules + authorization + unit tests + peer review + passed integration + synchronized documentation.</x:v>
      </x:c>
      <x:c r="T126" s="2" t="str">
        <x:v>UC-110</x:v>
      </x:c>
      <x:c r="U126" s="2" t="str">
        <x:v>danghh</x:v>
      </x:c>
      <x:c r="V126" s="4" t="d">
        <x:v>2026-11-16T00:00:00.000Z</x:v>
      </x:c>
      <x:c r="W126" s="4" t="d">
        <x:v>2026-11-27T00:00:00.000Z</x:v>
      </x:c>
      <x:c r="X126" s="22" t="n">
        <x:v>0</x:v>
      </x:c>
      <x:c r="Y126" s="23"/>
      <x:c r="Z126" s="17" t="str">
        <x:v>UC-13; UC-30; UC-33; reservation contracts</x:v>
      </x:c>
      <x:c r="AA126" s="2" t="str">
        <x:v>ACTIVE</x:v>
      </x:c>
      <x:c r="AB126" s="23" t="n">
        <x:v>0</x:v>
      </x:c>
      <x:c r="AC126" s="23" t="n">
        <x:v>0</x:v>
      </x:c>
      <x:c r="AD126" s="23" t="n">
        <x:v>0</x:v>
      </x:c>
      <x:c r="AE126" s="23" t="n">
        <x:v>0.75</x:v>
      </x:c>
      <x:c r="AF126" s="23" t="n">
        <x:v>0.25</x:v>
      </x:c>
      <x:c r="AG126" s="2" t="str">
        <x:f>IF(AA126="RETIRED","Excluded",IF(AA126="ACTIVE",IF(AND(I126="Complete",J126="Reviewed",M126="Ready",P126="Passed",X126=1),"Accepted","Pending"),IF(AND(I126="Complete",J126="Reviewed"),"Done","Pending")))</x:f>
        <x:v>Pending</x:v>
      </x:c>
      <x:c r="AH126" s="2" t="str">
        <x:f>IF(AA126="RETIRED","Excluded",IF(OR(AG126="Accepted",AG126="Done"),"Done",IF(ISNUMBER(W126),IF(W126&lt;$N$3,"Overdue","Planned"),"Verify baseline")))</x:f>
        <x:v>Planned</x:v>
      </x:c>
    </x:row>
    <x:row r="127" ht="48" customHeight="1">
      <x:c r="A127" s="17" t="str">
        <x:v>UC-111 · Confirm Full External Payment Receipt</x:v>
      </x:c>
      <x:c r="B127" s="2" t="str">
        <x:v>FE-06</x:v>
      </x:c>
      <x:c r="C127" s="17" t="str">
        <x:v>danghh · Customer, sales order and goods issue</x:v>
      </x:c>
      <x:c r="D127" s="2" t="str">
        <x:v>Use case</x:v>
      </x:c>
      <x:c r="E127" s="17" t="str">
        <x:v>Only Sales confirms full money receipt outside WMSD after rechecking current-version DELIVERED. Reference/evidence/note and user/time are required; atomically set COMPLETED without stock or payment execution.</x:v>
      </x:c>
      <x:c r="F127" s="2" t="str">
        <x:v>Medium</x:v>
      </x:c>
      <x:c r="G127" s="13" t="n">
        <x:f>SUM(AB127:AF127)</x:f>
        <x:v>1</x:v>
      </x:c>
      <x:c r="H127" s="2" t="str">
        <x:v>Iteration 3</x:v>
      </x:c>
      <x:c r="I127" s="21" t="str">
        <x:v>To Do</x:v>
      </x:c>
      <x:c r="J127" s="21" t="str">
        <x:v>Review due</x:v>
      </x:c>
      <x:c r="K127" s="2" t="str">
        <x:v>danghh</x:v>
      </x:c>
      <x:c r="L127" s="4" t="d">
        <x:v>2026-11-27T00:00:00.000Z</x:v>
      </x:c>
      <x:c r="M127" s="21" t="str">
        <x:v>To Do</x:v>
      </x:c>
      <x:c r="N127" s="2" t="str">
        <x:v>minhtd</x:v>
      </x:c>
      <x:c r="O127" s="4" t="d">
        <x:v>2026-11-27T00:00:00.000Z</x:v>
      </x:c>
      <x:c r="P127" s="21" t="str">
        <x:v>Not Run</x:v>
      </x:c>
      <x:c r="Q127" s="2" t="str">
        <x:v>minhtd</x:v>
      </x:c>
      <x:c r="R127" s="4" t="d">
        <x:v>2026-11-27T00:00:00.000Z</x:v>
      </x:c>
      <x:c r="S127" s="17" t="str">
        <x:v>Complete = FE + API + business rules + authorization + unit tests + peer review + passed integration + synchronized documentation.</x:v>
      </x:c>
      <x:c r="T127" s="2" t="str">
        <x:v>UC-111</x:v>
      </x:c>
      <x:c r="U127" s="2" t="str">
        <x:v>danghh</x:v>
      </x:c>
      <x:c r="V127" s="4" t="d">
        <x:v>2026-11-23T00:00:00.000Z</x:v>
      </x:c>
      <x:c r="W127" s="4" t="d">
        <x:v>2026-11-27T00:00:00.000Z</x:v>
      </x:c>
      <x:c r="X127" s="22" t="n">
        <x:v>0</x:v>
      </x:c>
      <x:c r="Y127" s="23"/>
      <x:c r="Z127" s="17" t="str">
        <x:v>UC-13; UC-30; UC-33; reservation contracts</x:v>
      </x:c>
      <x:c r="AA127" s="2" t="str">
        <x:v>ACTIVE</x:v>
      </x:c>
      <x:c r="AB127" s="23" t="n">
        <x:v>0</x:v>
      </x:c>
      <x:c r="AC127" s="23" t="n">
        <x:v>0</x:v>
      </x:c>
      <x:c r="AD127" s="23" t="n">
        <x:v>0</x:v>
      </x:c>
      <x:c r="AE127" s="23" t="n">
        <x:v>0</x:v>
      </x:c>
      <x:c r="AF127" s="23" t="n">
        <x:v>1</x:v>
      </x:c>
      <x:c r="AG127" s="2" t="str">
        <x:f>IF(AA127="RETIRED","Excluded",IF(AA127="ACTIVE",IF(AND(I127="Complete",J127="Reviewed",M127="Ready",P127="Passed",X127=1),"Accepted","Pending"),IF(AND(I127="Complete",J127="Reviewed"),"Done","Pending")))</x:f>
        <x:v>Pending</x:v>
      </x:c>
      <x:c r="AH127" s="2" t="str">
        <x:f>IF(AA127="RETIRED","Excluded",IF(OR(AG127="Accepted",AG127="Done"),"Done",IF(ISNUMBER(W127),IF(W127&lt;$N$3,"Overdue","Planned"),"Verify baseline")))</x:f>
        <x:v>Planned</x:v>
      </x:c>
    </x:row>
    <x:row r="128" ht="48" customHeight="1">
      <x:c r="A128" s="17" t="str">
        <x:v>CORE-01 · Authentication, administration and UI mockups baseline</x:v>
      </x:c>
      <x:c r="B128" s="2" t="str">
        <x:v>Foundation</x:v>
      </x:c>
      <x:c r="C128" s="17" t="str">
        <x:v>bachhm · Stocktake, adjustment and operational reports</x:v>
      </x:c>
      <x:c r="D128" s="2" t="str">
        <x:v>Baseline</x:v>
      </x:c>
      <x:c r="E128" s="17" t="str">
        <x:v>Reported complete by the team on 26 October 2026; retain existing implementation. Mockups are not evidence that business use cases or regression tests pass.</x:v>
      </x:c>
      <x:c r="F128" s="2" t="str">
        <x:v>Medium</x:v>
      </x:c>
      <x:c r="G128" s="13" t="n">
        <x:f>SUM(AB128:AF128)</x:f>
        <x:v>0</x:v>
      </x:c>
      <x:c r="H128" s="2" t="str">
        <x:v>Existing</x:v>
      </x:c>
      <x:c r="I128" s="21" t="str">
        <x:v>Reported complete</x:v>
      </x:c>
      <x:c r="J128" s="21" t="str">
        <x:v>Review due</x:v>
      </x:c>
      <x:c r="K128" s="2" t="str">
        <x:v>bachhm</x:v>
      </x:c>
      <x:c r="L128" s="4" t="d">
        <x:v>2026-11-27T00:00:00.000Z</x:v>
      </x:c>
      <x:c r="M128" s="21" t="str">
        <x:v>N/A</x:v>
      </x:c>
      <x:c r="N128" s="2" t="str">
        <x:v>trungph</x:v>
      </x:c>
      <x:c r="O128" s="4" t="d">
        <x:v>2026-11-27T00:00:00.000Z</x:v>
      </x:c>
      <x:c r="P128" s="21" t="str">
        <x:v>N/A</x:v>
      </x:c>
      <x:c r="Q128" s="2" t="str">
        <x:v>trungph</x:v>
      </x:c>
      <x:c r="R128" s="4" t="d">
        <x:v>2026-11-27T00:00:00.000Z</x:v>
      </x:c>
      <x:c r="S128" s="17" t="str">
        <x:v>Team-reported complete on 26/10; no actual effort or passing tests supplied. Regression and scoped permissions still require evidence.</x:v>
      </x:c>
      <x:c r="T128" s="2" t="str">
        <x:v>CORE-01</x:v>
      </x:c>
      <x:c r="U128" s="2" t="str">
        <x:v>bachhm</x:v>
      </x:c>
      <x:c r="V128" s="4"/>
      <x:c r="W128" s="4"/>
      <x:c r="X128" s="22" t="n">
        <x:v>1</x:v>
      </x:c>
      <x:c r="Y128" s="23"/>
      <x:c r="Z128" s="17" t="str">
        <x:v>User-reported baseline</x:v>
      </x:c>
      <x:c r="AA128" s="2" t="str">
        <x:v>SUPPORT</x:v>
      </x:c>
      <x:c r="AB128" s="23" t="n">
        <x:v>0</x:v>
      </x:c>
      <x:c r="AC128" s="23" t="n">
        <x:v>0</x:v>
      </x:c>
      <x:c r="AD128" s="23" t="n">
        <x:v>0</x:v>
      </x:c>
      <x:c r="AE128" s="23" t="n">
        <x:v>0</x:v>
      </x:c>
      <x:c r="AF128" s="23" t="n">
        <x:v>0</x:v>
      </x:c>
      <x:c r="AG128" s="2" t="str">
        <x:f>IF(AA128="RETIRED","Excluded",IF(AA128="ACTIVE",IF(AND(I128="Complete",J128="Reviewed",M128="Ready",P128="Passed",X128=1),"Accepted","Pending"),IF(AND(I128="Complete",J128="Reviewed"),"Done","Pending")))</x:f>
        <x:v>Pending</x:v>
      </x:c>
      <x:c r="AH128" s="2" t="str">
        <x:f>IF(AA128="RETIRED","Excluded",IF(OR(AG128="Accepted",AG128="Done"),"Done",IF(ISNUMBER(W128),IF(W128&lt;$N$3,"Overdue","Planned"),"Verify baseline")))</x:f>
        <x:v>Verify baseline</x:v>
      </x:c>
    </x:row>
    <x:row r="129" ht="48" customHeight="1">
      <x:c r="A129" s="17" t="str">
        <x:v>minhtd-CONTRACT · Confirm module API/data and shared contracts</x:v>
      </x:c>
      <x:c r="B129" s="2" t="str">
        <x:v>Delivery support</x:v>
      </x:c>
      <x:c r="C129" s="17" t="str">
        <x:v>minhtd · Purchase, receiving and put-away</x:v>
      </x:c>
      <x:c r="D129" s="2" t="str">
        <x:v>Task</x:v>
      </x:c>
      <x:c r="E129" s="17" t="str">
        <x:v>Freeze source IDs, versions, UOM, stock posting, reservations, freeze checks, evidence links and role/warehouse scope. Publish module interfaces and seed data.</x:v>
      </x:c>
      <x:c r="F129" s="2" t="str">
        <x:v>Medium</x:v>
      </x:c>
      <x:c r="G129" s="13" t="n">
        <x:f>SUM(AB129:AF129)</x:f>
        <x:v>0.5</x:v>
      </x:c>
      <x:c r="H129" s="2" t="str">
        <x:v>Iteration 1</x:v>
      </x:c>
      <x:c r="I129" s="21" t="str">
        <x:v>To Do</x:v>
      </x:c>
      <x:c r="J129" s="21" t="str">
        <x:v>Review due</x:v>
      </x:c>
      <x:c r="K129" s="2" t="str">
        <x:v>minhtd</x:v>
      </x:c>
      <x:c r="L129" s="4" t="d">
        <x:v>2026-11-27T00:00:00.000Z</x:v>
      </x:c>
      <x:c r="M129" s="21" t="str">
        <x:v>N/A</x:v>
      </x:c>
      <x:c r="N129" s="2" t="str">
        <x:v>hieudt</x:v>
      </x:c>
      <x:c r="O129" s="4" t="d">
        <x:v>2026-11-27T00:00:00.000Z</x:v>
      </x:c>
      <x:c r="P129" s="21" t="str">
        <x:v>N/A</x:v>
      </x:c>
      <x:c r="Q129" s="2" t="str">
        <x:v>hieudt</x:v>
      </x:c>
      <x:c r="R129" s="4" t="d">
        <x:v>2026-11-27T00:00:00.000Z</x:v>
      </x:c>
      <x:c r="S129" s="17" t="str">
        <x:v>Record completion and peer-reviewed evidence. No test result is pre-filled as passed.</x:v>
      </x:c>
      <x:c r="T129" s="2" t="str">
        <x:v>minhtd-CONTRACT</x:v>
      </x:c>
      <x:c r="U129" s="2" t="str">
        <x:v>minhtd</x:v>
      </x:c>
      <x:c r="V129" s="4" t="d">
        <x:v>2026-10-26T00:00:00.000Z</x:v>
      </x:c>
      <x:c r="W129" s="4" t="d">
        <x:v>2026-10-30T00:00:00.000Z</x:v>
      </x:c>
      <x:c r="X129" s="22" t="n">
        <x:v>0</x:v>
      </x:c>
      <x:c r="Y129" s="23"/>
      <x:c r="Z129" s="17" t="str">
        <x:v>CORE-01</x:v>
      </x:c>
      <x:c r="AA129" s="2" t="str">
        <x:v>SUPPORT</x:v>
      </x:c>
      <x:c r="AB129" s="23" t="n">
        <x:v>0.5</x:v>
      </x:c>
      <x:c r="AC129" s="23" t="n">
        <x:v>0</x:v>
      </x:c>
      <x:c r="AD129" s="23" t="n">
        <x:v>0</x:v>
      </x:c>
      <x:c r="AE129" s="23" t="n">
        <x:v>0</x:v>
      </x:c>
      <x:c r="AF129" s="23" t="n">
        <x:v>0</x:v>
      </x:c>
      <x:c r="AG129" s="2" t="str">
        <x:f>IF(AA129="RETIRED","Excluded",IF(AA129="ACTIVE",IF(AND(I129="Complete",J129="Reviewed",M129="Ready",P129="Passed",X129=1),"Accepted","Pending"),IF(AND(I129="Complete",J129="Reviewed"),"Done","Pending")))</x:f>
        <x:v>Pending</x:v>
      </x:c>
      <x:c r="AH129" s="2" t="str">
        <x:f>IF(AA129="RETIRED","Excluded",IF(OR(AG129="Accepted",AG129="Done"),"Done",IF(ISNUMBER(W129),IF(W129&lt;$N$3,"Overdue","Planned"),"Verify baseline")))</x:f>
        <x:v>Planned</x:v>
      </x:c>
    </x:row>
    <x:row r="130" ht="43" customHeight="1">
      <x:c r="A130" s="17" t="str">
        <x:v>minhtd-IT-1 · Execute first vertical integration tests</x:v>
      </x:c>
      <x:c r="B130" s="2" t="str">
        <x:v>Delivery support</x:v>
      </x:c>
      <x:c r="C130" s="17" t="str">
        <x:v>minhtd · Purchase, receiving and put-away</x:v>
      </x:c>
      <x:c r="D130" s="2" t="str">
        <x:v>Task</x:v>
      </x:c>
      <x:c r="E130" s="17" t="str">
        <x:v>Peer-test the first operational slice; record actual results and defects, including wrong-role and duplicate-submit cases.</x:v>
      </x:c>
      <x:c r="F130" s="2" t="str">
        <x:v>Medium</x:v>
      </x:c>
      <x:c r="G130" s="13" t="n">
        <x:f>SUM(AB130:AF130)</x:f>
        <x:v>0.5</x:v>
      </x:c>
      <x:c r="H130" s="2" t="str">
        <x:v>Iteration 1</x:v>
      </x:c>
      <x:c r="I130" s="21" t="str">
        <x:v>To Do</x:v>
      </x:c>
      <x:c r="J130" s="21" t="str">
        <x:v>Review due</x:v>
      </x:c>
      <x:c r="K130" s="2" t="str">
        <x:v>minhtd</x:v>
      </x:c>
      <x:c r="L130" s="4" t="d">
        <x:v>2026-11-27T00:00:00.000Z</x:v>
      </x:c>
      <x:c r="M130" s="21" t="str">
        <x:v>N/A</x:v>
      </x:c>
      <x:c r="N130" s="2" t="str">
        <x:v>hieudt</x:v>
      </x:c>
      <x:c r="O130" s="4" t="d">
        <x:v>2026-11-27T00:00:00.000Z</x:v>
      </x:c>
      <x:c r="P130" s="21" t="str">
        <x:v>N/A</x:v>
      </x:c>
      <x:c r="Q130" s="2" t="str">
        <x:v>hieudt</x:v>
      </x:c>
      <x:c r="R130" s="4" t="d">
        <x:v>2026-11-27T00:00:00.000Z</x:v>
      </x:c>
      <x:c r="S130" s="17" t="str">
        <x:v>Record completion and peer-reviewed evidence. No test result is pre-filled as passed.</x:v>
      </x:c>
      <x:c r="T130" s="2" t="str">
        <x:v>minhtd-IT-1</x:v>
      </x:c>
      <x:c r="U130" s="2" t="str">
        <x:v>minhtd</x:v>
      </x:c>
      <x:c r="V130" s="4" t="d">
        <x:v>2026-11-02T00:00:00.000Z</x:v>
      </x:c>
      <x:c r="W130" s="4" t="d">
        <x:v>2026-11-06T00:00:00.000Z</x:v>
      </x:c>
      <x:c r="X130" s="22" t="n">
        <x:v>0</x:v>
      </x:c>
      <x:c r="Y130" s="23"/>
      <x:c r="Z130" s="17" t="str">
        <x:v>Purchase, receiving and put-away</x:v>
      </x:c>
      <x:c r="AA130" s="2" t="str">
        <x:v>SUPPORT</x:v>
      </x:c>
      <x:c r="AB130" s="23" t="n">
        <x:v>0</x:v>
      </x:c>
      <x:c r="AC130" s="23" t="n">
        <x:v>0.5</x:v>
      </x:c>
      <x:c r="AD130" s="23" t="n">
        <x:v>0</x:v>
      </x:c>
      <x:c r="AE130" s="23" t="n">
        <x:v>0</x:v>
      </x:c>
      <x:c r="AF130" s="23" t="n">
        <x:v>0</x:v>
      </x:c>
      <x:c r="AG130" s="2" t="str">
        <x:f>IF(AA130="RETIRED","Excluded",IF(AA130="ACTIVE",IF(AND(I130="Complete",J130="Reviewed",M130="Ready",P130="Passed",X130=1),"Accepted","Pending"),IF(AND(I130="Complete",J130="Reviewed"),"Done","Pending")))</x:f>
        <x:v>Pending</x:v>
      </x:c>
      <x:c r="AH130" s="2" t="str">
        <x:f>IF(AA130="RETIRED","Excluded",IF(OR(AG130="Accepted",AG130="Done"),"Done",IF(ISNUMBER(W130),IF(W130&lt;$N$3,"Overdue","Planned"),"Verify baseline")))</x:f>
        <x:v>Planned</x:v>
      </x:c>
    </x:row>
    <x:row r="131" ht="43" customHeight="1">
      <x:c r="A131" s="17" t="str">
        <x:v>minhtd-DOC · Synchronize module SRS, SDS and test documentation</x:v>
      </x:c>
      <x:c r="B131" s="2" t="str">
        <x:v>Delivery support</x:v>
      </x:c>
      <x:c r="C131" s="17" t="str">
        <x:v>minhtd · Purchase, receiving and put-away</x:v>
      </x:c>
      <x:c r="D131" s="2" t="str">
        <x:v>Task</x:v>
      </x:c>
      <x:c r="E131" s="17" t="str">
        <x:v>Update assigned use cases, API/data/state designs and test cases against implementation; keep baseline 3.1.0 business rules.</x:v>
      </x:c>
      <x:c r="F131" s="2" t="str">
        <x:v>Medium</x:v>
      </x:c>
      <x:c r="G131" s="13" t="n">
        <x:f>SUM(AB131:AF131)</x:f>
        <x:v>0.75</x:v>
      </x:c>
      <x:c r="H131" s="2" t="str">
        <x:v>Iteration 2</x:v>
      </x:c>
      <x:c r="I131" s="21" t="str">
        <x:v>To Do</x:v>
      </x:c>
      <x:c r="J131" s="21" t="str">
        <x:v>Review due</x:v>
      </x:c>
      <x:c r="K131" s="2" t="str">
        <x:v>minhtd</x:v>
      </x:c>
      <x:c r="L131" s="4" t="d">
        <x:v>2026-11-27T00:00:00.000Z</x:v>
      </x:c>
      <x:c r="M131" s="21" t="str">
        <x:v>N/A</x:v>
      </x:c>
      <x:c r="N131" s="2" t="str">
        <x:v>hieudt</x:v>
      </x:c>
      <x:c r="O131" s="4" t="d">
        <x:v>2026-11-27T00:00:00.000Z</x:v>
      </x:c>
      <x:c r="P131" s="21" t="str">
        <x:v>N/A</x:v>
      </x:c>
      <x:c r="Q131" s="2" t="str">
        <x:v>hieudt</x:v>
      </x:c>
      <x:c r="R131" s="4" t="d">
        <x:v>2026-11-27T00:00:00.000Z</x:v>
      </x:c>
      <x:c r="S131" s="17" t="str">
        <x:v>Record completion and peer-reviewed evidence. No test result is pre-filled as passed.</x:v>
      </x:c>
      <x:c r="T131" s="2" t="str">
        <x:v>minhtd-DOC</x:v>
      </x:c>
      <x:c r="U131" s="2" t="str">
        <x:v>minhtd</x:v>
      </x:c>
      <x:c r="V131" s="4" t="d">
        <x:v>2026-11-09T00:00:00.000Z</x:v>
      </x:c>
      <x:c r="W131" s="4" t="d">
        <x:v>2026-11-13T00:00:00.000Z</x:v>
      </x:c>
      <x:c r="X131" s="22" t="n">
        <x:v>0</x:v>
      </x:c>
      <x:c r="Y131" s="23"/>
      <x:c r="Z131" s="17" t="str">
        <x:v>Purchase, receiving and put-away</x:v>
      </x:c>
      <x:c r="AA131" s="2" t="str">
        <x:v>SUPPORT</x:v>
      </x:c>
      <x:c r="AB131" s="23" t="n">
        <x:v>0</x:v>
      </x:c>
      <x:c r="AC131" s="23" t="n">
        <x:v>0</x:v>
      </x:c>
      <x:c r="AD131" s="23" t="n">
        <x:v>0.75</x:v>
      </x:c>
      <x:c r="AE131" s="23" t="n">
        <x:v>0</x:v>
      </x:c>
      <x:c r="AF131" s="23" t="n">
        <x:v>0</x:v>
      </x:c>
      <x:c r="AG131" s="2" t="str">
        <x:f>IF(AA131="RETIRED","Excluded",IF(AA131="ACTIVE",IF(AND(I131="Complete",J131="Reviewed",M131="Ready",P131="Passed",X131=1),"Accepted","Pending"),IF(AND(I131="Complete",J131="Reviewed"),"Done","Pending")))</x:f>
        <x:v>Pending</x:v>
      </x:c>
      <x:c r="AH131" s="2" t="str">
        <x:f>IF(AA131="RETIRED","Excluded",IF(OR(AG131="Accepted",AG131="Done"),"Done",IF(ISNUMBER(W131),IF(W131&lt;$N$3,"Overdue","Planned"),"Verify baseline")))</x:f>
        <x:v>Planned</x:v>
      </x:c>
    </x:row>
    <x:row r="132" ht="43" customHeight="1">
      <x:c r="A132" s="17" t="str">
        <x:v>minhtd-IT-2 · Execute cross-module and exception tests</x:v>
      </x:c>
      <x:c r="B132" s="2" t="str">
        <x:v>Delivery support</x:v>
      </x:c>
      <x:c r="C132" s="17" t="str">
        <x:v>minhtd · Purchase, receiving and put-away</x:v>
      </x:c>
      <x:c r="D132" s="2" t="str">
        <x:v>Task</x:v>
      </x:c>
      <x:c r="E132" s="17" t="str">
        <x:v>Execute partial/negative/concurrent/retry/rollback scenarios and cross-owner interfaces. Fix and retest; do not fabricate outcomes.</x:v>
      </x:c>
      <x:c r="F132" s="2" t="str">
        <x:v>Medium</x:v>
      </x:c>
      <x:c r="G132" s="13" t="n">
        <x:f>SUM(AB132:AF132)</x:f>
        <x:v>0.75</x:v>
      </x:c>
      <x:c r="H132" s="2" t="str">
        <x:v>Iteration 2</x:v>
      </x:c>
      <x:c r="I132" s="21" t="str">
        <x:v>To Do</x:v>
      </x:c>
      <x:c r="J132" s="21" t="str">
        <x:v>Review due</x:v>
      </x:c>
      <x:c r="K132" s="2" t="str">
        <x:v>minhtd</x:v>
      </x:c>
      <x:c r="L132" s="4" t="d">
        <x:v>2026-11-27T00:00:00.000Z</x:v>
      </x:c>
      <x:c r="M132" s="21" t="str">
        <x:v>N/A</x:v>
      </x:c>
      <x:c r="N132" s="2" t="str">
        <x:v>hieudt</x:v>
      </x:c>
      <x:c r="O132" s="4" t="d">
        <x:v>2026-11-27T00:00:00.000Z</x:v>
      </x:c>
      <x:c r="P132" s="21" t="str">
        <x:v>N/A</x:v>
      </x:c>
      <x:c r="Q132" s="2" t="str">
        <x:v>hieudt</x:v>
      </x:c>
      <x:c r="R132" s="4" t="d">
        <x:v>2026-11-27T00:00:00.000Z</x:v>
      </x:c>
      <x:c r="S132" s="17" t="str">
        <x:v>Record completion and peer-reviewed evidence. No test result is pre-filled as passed.</x:v>
      </x:c>
      <x:c r="T132" s="2" t="str">
        <x:v>minhtd-IT-2</x:v>
      </x:c>
      <x:c r="U132" s="2" t="str">
        <x:v>minhtd</x:v>
      </x:c>
      <x:c r="V132" s="4" t="d">
        <x:v>2026-11-16T00:00:00.000Z</x:v>
      </x:c>
      <x:c r="W132" s="4" t="d">
        <x:v>2026-11-20T00:00:00.000Z</x:v>
      </x:c>
      <x:c r="X132" s="22" t="n">
        <x:v>0</x:v>
      </x:c>
      <x:c r="Y132" s="23"/>
      <x:c r="Z132" s="17" t="str">
        <x:v>Purchase, receiving and put-away</x:v>
      </x:c>
      <x:c r="AA132" s="2" t="str">
        <x:v>SUPPORT</x:v>
      </x:c>
      <x:c r="AB132" s="23" t="n">
        <x:v>0</x:v>
      </x:c>
      <x:c r="AC132" s="23" t="n">
        <x:v>0</x:v>
      </x:c>
      <x:c r="AD132" s="23" t="n">
        <x:v>0</x:v>
      </x:c>
      <x:c r="AE132" s="23" t="n">
        <x:v>0.75</x:v>
      </x:c>
      <x:c r="AF132" s="23" t="n">
        <x:v>0</x:v>
      </x:c>
      <x:c r="AG132" s="2" t="str">
        <x:f>IF(AA132="RETIRED","Excluded",IF(AA132="ACTIVE",IF(AND(I132="Complete",J132="Reviewed",M132="Ready",P132="Passed",X132=1),"Accepted","Pending"),IF(AND(I132="Complete",J132="Reviewed"),"Done","Pending")))</x:f>
        <x:v>Pending</x:v>
      </x:c>
      <x:c r="AH132" s="2" t="str">
        <x:f>IF(AA132="RETIRED","Excluded",IF(OR(AG132="Accepted",AG132="Done"),"Done",IF(ISNUMBER(W132),IF(W132&lt;$N$3,"Overdue","Planned"),"Verify baseline")))</x:f>
        <x:v>Planned</x:v>
      </x:c>
    </x:row>
    <x:row r="133" ht="43" customHeight="1">
      <x:c r="A133" s="17" t="str">
        <x:v>minhtd-REG · Run final module regression and fix defects</x:v>
      </x:c>
      <x:c r="B133" s="2" t="str">
        <x:v>Delivery support</x:v>
      </x:c>
      <x:c r="C133" s="17" t="str">
        <x:v>minhtd · Purchase, receiving and put-away</x:v>
      </x:c>
      <x:c r="D133" s="2" t="str">
        <x:v>Task</x:v>
      </x:c>
      <x:c r="E133" s="17" t="str">
        <x:v>Run UI–API–MongoDB/evidence tests for all owned active UC, foundation regression and key warehouse exceptions. Close critical/high release blockers.</x:v>
      </x:c>
      <x:c r="F133" s="2" t="str">
        <x:v>Medium</x:v>
      </x:c>
      <x:c r="G133" s="13" t="n">
        <x:f>SUM(AB133:AF133)</x:f>
        <x:v>1.5</x:v>
      </x:c>
      <x:c r="H133" s="2" t="str">
        <x:v>Iteration 3</x:v>
      </x:c>
      <x:c r="I133" s="21" t="str">
        <x:v>To Do</x:v>
      </x:c>
      <x:c r="J133" s="21" t="str">
        <x:v>Review due</x:v>
      </x:c>
      <x:c r="K133" s="2" t="str">
        <x:v>minhtd</x:v>
      </x:c>
      <x:c r="L133" s="4" t="d">
        <x:v>2026-11-27T00:00:00.000Z</x:v>
      </x:c>
      <x:c r="M133" s="21" t="str">
        <x:v>N/A</x:v>
      </x:c>
      <x:c r="N133" s="2" t="str">
        <x:v>hieudt</x:v>
      </x:c>
      <x:c r="O133" s="4" t="d">
        <x:v>2026-11-27T00:00:00.000Z</x:v>
      </x:c>
      <x:c r="P133" s="21" t="str">
        <x:v>N/A</x:v>
      </x:c>
      <x:c r="Q133" s="2" t="str">
        <x:v>hieudt</x:v>
      </x:c>
      <x:c r="R133" s="4" t="d">
        <x:v>2026-11-27T00:00:00.000Z</x:v>
      </x:c>
      <x:c r="S133" s="17" t="str">
        <x:v>Record completion and peer-reviewed evidence. No test result is pre-filled as passed.</x:v>
      </x:c>
      <x:c r="T133" s="2" t="str">
        <x:v>minhtd-REG</x:v>
      </x:c>
      <x:c r="U133" s="2" t="str">
        <x:v>minhtd</x:v>
      </x:c>
      <x:c r="V133" s="4" t="d">
        <x:v>2026-11-23T00:00:00.000Z</x:v>
      </x:c>
      <x:c r="W133" s="4" t="d">
        <x:v>2026-11-27T00:00:00.000Z</x:v>
      </x:c>
      <x:c r="X133" s="22" t="n">
        <x:v>0</x:v>
      </x:c>
      <x:c r="Y133" s="23"/>
      <x:c r="Z133" s="17" t="str">
        <x:v>Purchase, receiving and put-away</x:v>
      </x:c>
      <x:c r="AA133" s="2" t="str">
        <x:v>SUPPORT</x:v>
      </x:c>
      <x:c r="AB133" s="23" t="n">
        <x:v>0</x:v>
      </x:c>
      <x:c r="AC133" s="23" t="n">
        <x:v>0</x:v>
      </x:c>
      <x:c r="AD133" s="23" t="n">
        <x:v>0</x:v>
      </x:c>
      <x:c r="AE133" s="23" t="n">
        <x:v>0</x:v>
      </x:c>
      <x:c r="AF133" s="23" t="n">
        <x:v>1.5</x:v>
      </x:c>
      <x:c r="AG133" s="2" t="str">
        <x:f>IF(AA133="RETIRED","Excluded",IF(AA133="ACTIVE",IF(AND(I133="Complete",J133="Reviewed",M133="Ready",P133="Passed",X133=1),"Accepted","Pending"),IF(AND(I133="Complete",J133="Reviewed"),"Done","Pending")))</x:f>
        <x:v>Pending</x:v>
      </x:c>
      <x:c r="AH133" s="2" t="str">
        <x:f>IF(AA133="RETIRED","Excluded",IF(OR(AG133="Accepted",AG133="Done"),"Done",IF(ISNUMBER(W133),IF(W133&lt;$N$3,"Overdue","Planned"),"Verify baseline")))</x:f>
        <x:v>Planned</x:v>
      </x:c>
    </x:row>
    <x:row r="134" ht="43" customHeight="1">
      <x:c r="A134" s="17" t="str">
        <x:v>minhtd-RELEASE · Finalize module documentation and handover</x:v>
      </x:c>
      <x:c r="B134" s="2" t="str">
        <x:v>Delivery support</x:v>
      </x:c>
      <x:c r="C134" s="17" t="str">
        <x:v>minhtd · Purchase, receiving and put-away</x:v>
      </x:c>
      <x:c r="D134" s="2" t="str">
        <x:v>Task</x:v>
      </x:c>
      <x:c r="E134" s="17" t="str">
        <x:v>Finalize SRS/SDS/Report 5 evidence and Report 6 module guide; prepare seed/demo data, deployment checks and a named reviewer sign-off.</x:v>
      </x:c>
      <x:c r="F134" s="2" t="str">
        <x:v>Medium</x:v>
      </x:c>
      <x:c r="G134" s="13" t="n">
        <x:f>SUM(AB134:AF134)</x:f>
        <x:v>1</x:v>
      </x:c>
      <x:c r="H134" s="2" t="str">
        <x:v>Iteration 3</x:v>
      </x:c>
      <x:c r="I134" s="21" t="str">
        <x:v>To Do</x:v>
      </x:c>
      <x:c r="J134" s="21" t="str">
        <x:v>Review due</x:v>
      </x:c>
      <x:c r="K134" s="2" t="str">
        <x:v>minhtd</x:v>
      </x:c>
      <x:c r="L134" s="4" t="d">
        <x:v>2026-11-27T00:00:00.000Z</x:v>
      </x:c>
      <x:c r="M134" s="21" t="str">
        <x:v>N/A</x:v>
      </x:c>
      <x:c r="N134" s="2" t="str">
        <x:v>hieudt</x:v>
      </x:c>
      <x:c r="O134" s="4" t="d">
        <x:v>2026-11-27T00:00:00.000Z</x:v>
      </x:c>
      <x:c r="P134" s="21" t="str">
        <x:v>N/A</x:v>
      </x:c>
      <x:c r="Q134" s="2" t="str">
        <x:v>hieudt</x:v>
      </x:c>
      <x:c r="R134" s="4" t="d">
        <x:v>2026-11-27T00:00:00.000Z</x:v>
      </x:c>
      <x:c r="S134" s="17" t="str">
        <x:v>Record completion and peer-reviewed evidence. No test result is pre-filled as passed.</x:v>
      </x:c>
      <x:c r="T134" s="2" t="str">
        <x:v>minhtd-RELEASE</x:v>
      </x:c>
      <x:c r="U134" s="2" t="str">
        <x:v>minhtd</x:v>
      </x:c>
      <x:c r="V134" s="4" t="d">
        <x:v>2026-11-23T00:00:00.000Z</x:v>
      </x:c>
      <x:c r="W134" s="4" t="d">
        <x:v>2026-11-27T00:00:00.000Z</x:v>
      </x:c>
      <x:c r="X134" s="22" t="n">
        <x:v>0</x:v>
      </x:c>
      <x:c r="Y134" s="23"/>
      <x:c r="Z134" s="17" t="str">
        <x:v>minhtd-REG</x:v>
      </x:c>
      <x:c r="AA134" s="2" t="str">
        <x:v>SUPPORT</x:v>
      </x:c>
      <x:c r="AB134" s="23" t="n">
        <x:v>0</x:v>
      </x:c>
      <x:c r="AC134" s="23" t="n">
        <x:v>0</x:v>
      </x:c>
      <x:c r="AD134" s="23" t="n">
        <x:v>0</x:v>
      </x:c>
      <x:c r="AE134" s="23" t="n">
        <x:v>0</x:v>
      </x:c>
      <x:c r="AF134" s="23" t="n">
        <x:v>1</x:v>
      </x:c>
      <x:c r="AG134" s="2" t="str">
        <x:f>IF(AA134="RETIRED","Excluded",IF(AA134="ACTIVE",IF(AND(I134="Complete",J134="Reviewed",M134="Ready",P134="Passed",X134=1),"Accepted","Pending"),IF(AND(I134="Complete",J134="Reviewed"),"Done","Pending")))</x:f>
        <x:v>Pending</x:v>
      </x:c>
      <x:c r="AH134" s="2" t="str">
        <x:f>IF(AA134="RETIRED","Excluded",IF(OR(AG134="Accepted",AG134="Done"),"Done",IF(ISNUMBER(W134),IF(W134&lt;$N$3,"Overdue","Planned"),"Verify baseline")))</x:f>
        <x:v>Planned</x:v>
      </x:c>
    </x:row>
    <x:row r="135" ht="48" customHeight="1">
      <x:c r="A135" s="17" t="str">
        <x:v>hieudt-CONTRACT · Confirm module API/data and shared contracts</x:v>
      </x:c>
      <x:c r="B135" s="2" t="str">
        <x:v>Delivery support</x:v>
      </x:c>
      <x:c r="C135" s="17" t="str">
        <x:v>hieudt · Inventory, relocation and warehouse transfer</x:v>
      </x:c>
      <x:c r="D135" s="2" t="str">
        <x:v>Task</x:v>
      </x:c>
      <x:c r="E135" s="17" t="str">
        <x:v>Freeze source IDs, versions, UOM, stock posting, reservations, freeze checks, evidence links and role/warehouse scope. Publish module interfaces and seed data.</x:v>
      </x:c>
      <x:c r="F135" s="2" t="str">
        <x:v>Medium</x:v>
      </x:c>
      <x:c r="G135" s="13" t="n">
        <x:f>SUM(AB135:AF135)</x:f>
        <x:v>0.5</x:v>
      </x:c>
      <x:c r="H135" s="2" t="str">
        <x:v>Iteration 1</x:v>
      </x:c>
      <x:c r="I135" s="21" t="str">
        <x:v>To Do</x:v>
      </x:c>
      <x:c r="J135" s="21" t="str">
        <x:v>Review due</x:v>
      </x:c>
      <x:c r="K135" s="2" t="str">
        <x:v>hieudt</x:v>
      </x:c>
      <x:c r="L135" s="4" t="d">
        <x:v>2026-11-27T00:00:00.000Z</x:v>
      </x:c>
      <x:c r="M135" s="21" t="str">
        <x:v>N/A</x:v>
      </x:c>
      <x:c r="N135" s="2" t="str">
        <x:v>bachhm</x:v>
      </x:c>
      <x:c r="O135" s="4" t="d">
        <x:v>2026-11-27T00:00:00.000Z</x:v>
      </x:c>
      <x:c r="P135" s="21" t="str">
        <x:v>N/A</x:v>
      </x:c>
      <x:c r="Q135" s="2" t="str">
        <x:v>bachhm</x:v>
      </x:c>
      <x:c r="R135" s="4" t="d">
        <x:v>2026-11-27T00:00:00.000Z</x:v>
      </x:c>
      <x:c r="S135" s="17" t="str">
        <x:v>Record completion and peer-reviewed evidence. No test result is pre-filled as passed.</x:v>
      </x:c>
      <x:c r="T135" s="2" t="str">
        <x:v>hieudt-CONTRACT</x:v>
      </x:c>
      <x:c r="U135" s="2" t="str">
        <x:v>hieudt</x:v>
      </x:c>
      <x:c r="V135" s="4" t="d">
        <x:v>2026-10-26T00:00:00.000Z</x:v>
      </x:c>
      <x:c r="W135" s="4" t="d">
        <x:v>2026-10-30T00:00:00.000Z</x:v>
      </x:c>
      <x:c r="X135" s="22" t="n">
        <x:v>0</x:v>
      </x:c>
      <x:c r="Y135" s="23"/>
      <x:c r="Z135" s="17" t="str">
        <x:v>CORE-01</x:v>
      </x:c>
      <x:c r="AA135" s="2" t="str">
        <x:v>SUPPORT</x:v>
      </x:c>
      <x:c r="AB135" s="23" t="n">
        <x:v>0.5</x:v>
      </x:c>
      <x:c r="AC135" s="23" t="n">
        <x:v>0</x:v>
      </x:c>
      <x:c r="AD135" s="23" t="n">
        <x:v>0</x:v>
      </x:c>
      <x:c r="AE135" s="23" t="n">
        <x:v>0</x:v>
      </x:c>
      <x:c r="AF135" s="23" t="n">
        <x:v>0</x:v>
      </x:c>
      <x:c r="AG135" s="2" t="str">
        <x:f>IF(AA135="RETIRED","Excluded",IF(AA135="ACTIVE",IF(AND(I135="Complete",J135="Reviewed",M135="Ready",P135="Passed",X135=1),"Accepted","Pending"),IF(AND(I135="Complete",J135="Reviewed"),"Done","Pending")))</x:f>
        <x:v>Pending</x:v>
      </x:c>
      <x:c r="AH135" s="2" t="str">
        <x:f>IF(AA135="RETIRED","Excluded",IF(OR(AG135="Accepted",AG135="Done"),"Done",IF(ISNUMBER(W135),IF(W135&lt;$N$3,"Overdue","Planned"),"Verify baseline")))</x:f>
        <x:v>Planned</x:v>
      </x:c>
    </x:row>
    <x:row r="136" ht="48" customHeight="1">
      <x:c r="A136" s="17" t="str">
        <x:v>hieudt-IT-1 · Execute first vertical integration tests</x:v>
      </x:c>
      <x:c r="B136" s="2" t="str">
        <x:v>Delivery support</x:v>
      </x:c>
      <x:c r="C136" s="17" t="str">
        <x:v>hieudt · Inventory, relocation and warehouse transfer</x:v>
      </x:c>
      <x:c r="D136" s="2" t="str">
        <x:v>Task</x:v>
      </x:c>
      <x:c r="E136" s="17" t="str">
        <x:v>Peer-test the first operational slice; record actual results and defects, including wrong-role and duplicate-submit cases.</x:v>
      </x:c>
      <x:c r="F136" s="2" t="str">
        <x:v>Medium</x:v>
      </x:c>
      <x:c r="G136" s="13" t="n">
        <x:f>SUM(AB136:AF136)</x:f>
        <x:v>0.5</x:v>
      </x:c>
      <x:c r="H136" s="2" t="str">
        <x:v>Iteration 1</x:v>
      </x:c>
      <x:c r="I136" s="21" t="str">
        <x:v>To Do</x:v>
      </x:c>
      <x:c r="J136" s="21" t="str">
        <x:v>Review due</x:v>
      </x:c>
      <x:c r="K136" s="2" t="str">
        <x:v>hieudt</x:v>
      </x:c>
      <x:c r="L136" s="4" t="d">
        <x:v>2026-11-27T00:00:00.000Z</x:v>
      </x:c>
      <x:c r="M136" s="21" t="str">
        <x:v>N/A</x:v>
      </x:c>
      <x:c r="N136" s="2" t="str">
        <x:v>bachhm</x:v>
      </x:c>
      <x:c r="O136" s="4" t="d">
        <x:v>2026-11-27T00:00:00.000Z</x:v>
      </x:c>
      <x:c r="P136" s="21" t="str">
        <x:v>N/A</x:v>
      </x:c>
      <x:c r="Q136" s="2" t="str">
        <x:v>bachhm</x:v>
      </x:c>
      <x:c r="R136" s="4" t="d">
        <x:v>2026-11-27T00:00:00.000Z</x:v>
      </x:c>
      <x:c r="S136" s="17" t="str">
        <x:v>Record completion and peer-reviewed evidence. No test result is pre-filled as passed.</x:v>
      </x:c>
      <x:c r="T136" s="2" t="str">
        <x:v>hieudt-IT-1</x:v>
      </x:c>
      <x:c r="U136" s="2" t="str">
        <x:v>hieudt</x:v>
      </x:c>
      <x:c r="V136" s="4" t="d">
        <x:v>2026-11-02T00:00:00.000Z</x:v>
      </x:c>
      <x:c r="W136" s="4" t="d">
        <x:v>2026-11-06T00:00:00.000Z</x:v>
      </x:c>
      <x:c r="X136" s="22" t="n">
        <x:v>0</x:v>
      </x:c>
      <x:c r="Y136" s="23"/>
      <x:c r="Z136" s="17" t="str">
        <x:v>Inventory, relocation and warehouse transfer</x:v>
      </x:c>
      <x:c r="AA136" s="2" t="str">
        <x:v>SUPPORT</x:v>
      </x:c>
      <x:c r="AB136" s="23" t="n">
        <x:v>0</x:v>
      </x:c>
      <x:c r="AC136" s="23" t="n">
        <x:v>0.5</x:v>
      </x:c>
      <x:c r="AD136" s="23" t="n">
        <x:v>0</x:v>
      </x:c>
      <x:c r="AE136" s="23" t="n">
        <x:v>0</x:v>
      </x:c>
      <x:c r="AF136" s="23" t="n">
        <x:v>0</x:v>
      </x:c>
      <x:c r="AG136" s="2" t="str">
        <x:f>IF(AA136="RETIRED","Excluded",IF(AA136="ACTIVE",IF(AND(I136="Complete",J136="Reviewed",M136="Ready",P136="Passed",X136=1),"Accepted","Pending"),IF(AND(I136="Complete",J136="Reviewed"),"Done","Pending")))</x:f>
        <x:v>Pending</x:v>
      </x:c>
      <x:c r="AH136" s="2" t="str">
        <x:f>IF(AA136="RETIRED","Excluded",IF(OR(AG136="Accepted",AG136="Done"),"Done",IF(ISNUMBER(W136),IF(W136&lt;$N$3,"Overdue","Planned"),"Verify baseline")))</x:f>
        <x:v>Planned</x:v>
      </x:c>
    </x:row>
    <x:row r="137" ht="48" customHeight="1">
      <x:c r="A137" s="17" t="str">
        <x:v>hieudt-DOC · Synchronize module SRS, SDS and test documentation</x:v>
      </x:c>
      <x:c r="B137" s="2" t="str">
        <x:v>Delivery support</x:v>
      </x:c>
      <x:c r="C137" s="17" t="str">
        <x:v>hieudt · Inventory, relocation and warehouse transfer</x:v>
      </x:c>
      <x:c r="D137" s="2" t="str">
        <x:v>Task</x:v>
      </x:c>
      <x:c r="E137" s="17" t="str">
        <x:v>Update assigned use cases, API/data/state designs and test cases against implementation; keep baseline 3.1.0 business rules.</x:v>
      </x:c>
      <x:c r="F137" s="2" t="str">
        <x:v>Medium</x:v>
      </x:c>
      <x:c r="G137" s="13" t="n">
        <x:f>SUM(AB137:AF137)</x:f>
        <x:v>0.75</x:v>
      </x:c>
      <x:c r="H137" s="2" t="str">
        <x:v>Iteration 2</x:v>
      </x:c>
      <x:c r="I137" s="21" t="str">
        <x:v>To Do</x:v>
      </x:c>
      <x:c r="J137" s="21" t="str">
        <x:v>Review due</x:v>
      </x:c>
      <x:c r="K137" s="2" t="str">
        <x:v>hieudt</x:v>
      </x:c>
      <x:c r="L137" s="4" t="d">
        <x:v>2026-11-27T00:00:00.000Z</x:v>
      </x:c>
      <x:c r="M137" s="21" t="str">
        <x:v>N/A</x:v>
      </x:c>
      <x:c r="N137" s="2" t="str">
        <x:v>bachhm</x:v>
      </x:c>
      <x:c r="O137" s="4" t="d">
        <x:v>2026-11-27T00:00:00.000Z</x:v>
      </x:c>
      <x:c r="P137" s="21" t="str">
        <x:v>N/A</x:v>
      </x:c>
      <x:c r="Q137" s="2" t="str">
        <x:v>bachhm</x:v>
      </x:c>
      <x:c r="R137" s="4" t="d">
        <x:v>2026-11-27T00:00:00.000Z</x:v>
      </x:c>
      <x:c r="S137" s="17" t="str">
        <x:v>Record completion and peer-reviewed evidence. No test result is pre-filled as passed.</x:v>
      </x:c>
      <x:c r="T137" s="2" t="str">
        <x:v>hieudt-DOC</x:v>
      </x:c>
      <x:c r="U137" s="2" t="str">
        <x:v>hieudt</x:v>
      </x:c>
      <x:c r="V137" s="4" t="d">
        <x:v>2026-11-09T00:00:00.000Z</x:v>
      </x:c>
      <x:c r="W137" s="4" t="d">
        <x:v>2026-11-13T00:00:00.000Z</x:v>
      </x:c>
      <x:c r="X137" s="22" t="n">
        <x:v>0</x:v>
      </x:c>
      <x:c r="Y137" s="23"/>
      <x:c r="Z137" s="17" t="str">
        <x:v>Inventory, relocation and warehouse transfer</x:v>
      </x:c>
      <x:c r="AA137" s="2" t="str">
        <x:v>SUPPORT</x:v>
      </x:c>
      <x:c r="AB137" s="23" t="n">
        <x:v>0</x:v>
      </x:c>
      <x:c r="AC137" s="23" t="n">
        <x:v>0</x:v>
      </x:c>
      <x:c r="AD137" s="23" t="n">
        <x:v>0.75</x:v>
      </x:c>
      <x:c r="AE137" s="23" t="n">
        <x:v>0</x:v>
      </x:c>
      <x:c r="AF137" s="23" t="n">
        <x:v>0</x:v>
      </x:c>
      <x:c r="AG137" s="2" t="str">
        <x:f>IF(AA137="RETIRED","Excluded",IF(AA137="ACTIVE",IF(AND(I137="Complete",J137="Reviewed",M137="Ready",P137="Passed",X137=1),"Accepted","Pending"),IF(AND(I137="Complete",J137="Reviewed"),"Done","Pending")))</x:f>
        <x:v>Pending</x:v>
      </x:c>
      <x:c r="AH137" s="2" t="str">
        <x:f>IF(AA137="RETIRED","Excluded",IF(OR(AG137="Accepted",AG137="Done"),"Done",IF(ISNUMBER(W137),IF(W137&lt;$N$3,"Overdue","Planned"),"Verify baseline")))</x:f>
        <x:v>Planned</x:v>
      </x:c>
    </x:row>
    <x:row r="138" ht="48" customHeight="1">
      <x:c r="A138" s="17" t="str">
        <x:v>hieudt-IT-2 · Execute cross-module and exception tests</x:v>
      </x:c>
      <x:c r="B138" s="2" t="str">
        <x:v>Delivery support</x:v>
      </x:c>
      <x:c r="C138" s="17" t="str">
        <x:v>hieudt · Inventory, relocation and warehouse transfer</x:v>
      </x:c>
      <x:c r="D138" s="2" t="str">
        <x:v>Task</x:v>
      </x:c>
      <x:c r="E138" s="17" t="str">
        <x:v>Execute partial/negative/concurrent/retry/rollback scenarios and cross-owner interfaces. Fix and retest; do not fabricate outcomes.</x:v>
      </x:c>
      <x:c r="F138" s="2" t="str">
        <x:v>Medium</x:v>
      </x:c>
      <x:c r="G138" s="13" t="n">
        <x:f>SUM(AB138:AF138)</x:f>
        <x:v>0.75</x:v>
      </x:c>
      <x:c r="H138" s="2" t="str">
        <x:v>Iteration 2</x:v>
      </x:c>
      <x:c r="I138" s="21" t="str">
        <x:v>To Do</x:v>
      </x:c>
      <x:c r="J138" s="21" t="str">
        <x:v>Review due</x:v>
      </x:c>
      <x:c r="K138" s="2" t="str">
        <x:v>hieudt</x:v>
      </x:c>
      <x:c r="L138" s="4" t="d">
        <x:v>2026-11-27T00:00:00.000Z</x:v>
      </x:c>
      <x:c r="M138" s="21" t="str">
        <x:v>N/A</x:v>
      </x:c>
      <x:c r="N138" s="2" t="str">
        <x:v>bachhm</x:v>
      </x:c>
      <x:c r="O138" s="4" t="d">
        <x:v>2026-11-27T00:00:00.000Z</x:v>
      </x:c>
      <x:c r="P138" s="21" t="str">
        <x:v>N/A</x:v>
      </x:c>
      <x:c r="Q138" s="2" t="str">
        <x:v>bachhm</x:v>
      </x:c>
      <x:c r="R138" s="4" t="d">
        <x:v>2026-11-27T00:00:00.000Z</x:v>
      </x:c>
      <x:c r="S138" s="17" t="str">
        <x:v>Record completion and peer-reviewed evidence. No test result is pre-filled as passed.</x:v>
      </x:c>
      <x:c r="T138" s="2" t="str">
        <x:v>hieudt-IT-2</x:v>
      </x:c>
      <x:c r="U138" s="2" t="str">
        <x:v>hieudt</x:v>
      </x:c>
      <x:c r="V138" s="4" t="d">
        <x:v>2026-11-16T00:00:00.000Z</x:v>
      </x:c>
      <x:c r="W138" s="4" t="d">
        <x:v>2026-11-20T00:00:00.000Z</x:v>
      </x:c>
      <x:c r="X138" s="22" t="n">
        <x:v>0</x:v>
      </x:c>
      <x:c r="Y138" s="23"/>
      <x:c r="Z138" s="17" t="str">
        <x:v>Inventory, relocation and warehouse transfer</x:v>
      </x:c>
      <x:c r="AA138" s="2" t="str">
        <x:v>SUPPORT</x:v>
      </x:c>
      <x:c r="AB138" s="23" t="n">
        <x:v>0</x:v>
      </x:c>
      <x:c r="AC138" s="23" t="n">
        <x:v>0</x:v>
      </x:c>
      <x:c r="AD138" s="23" t="n">
        <x:v>0</x:v>
      </x:c>
      <x:c r="AE138" s="23" t="n">
        <x:v>0.75</x:v>
      </x:c>
      <x:c r="AF138" s="23" t="n">
        <x:v>0</x:v>
      </x:c>
      <x:c r="AG138" s="2" t="str">
        <x:f>IF(AA138="RETIRED","Excluded",IF(AA138="ACTIVE",IF(AND(I138="Complete",J138="Reviewed",M138="Ready",P138="Passed",X138=1),"Accepted","Pending"),IF(AND(I138="Complete",J138="Reviewed"),"Done","Pending")))</x:f>
        <x:v>Pending</x:v>
      </x:c>
      <x:c r="AH138" s="2" t="str">
        <x:f>IF(AA138="RETIRED","Excluded",IF(OR(AG138="Accepted",AG138="Done"),"Done",IF(ISNUMBER(W138),IF(W138&lt;$N$3,"Overdue","Planned"),"Verify baseline")))</x:f>
        <x:v>Planned</x:v>
      </x:c>
    </x:row>
    <x:row r="139" ht="48" customHeight="1">
      <x:c r="A139" s="17" t="str">
        <x:v>hieudt-REG · Run final module regression and fix defects</x:v>
      </x:c>
      <x:c r="B139" s="2" t="str">
        <x:v>Delivery support</x:v>
      </x:c>
      <x:c r="C139" s="17" t="str">
        <x:v>hieudt · Inventory, relocation and warehouse transfer</x:v>
      </x:c>
      <x:c r="D139" s="2" t="str">
        <x:v>Task</x:v>
      </x:c>
      <x:c r="E139" s="17" t="str">
        <x:v>Run UI–API–MongoDB/evidence tests for all owned active UC, foundation regression and key warehouse exceptions. Close critical/high release blockers.</x:v>
      </x:c>
      <x:c r="F139" s="2" t="str">
        <x:v>Medium</x:v>
      </x:c>
      <x:c r="G139" s="13" t="n">
        <x:f>SUM(AB139:AF139)</x:f>
        <x:v>1.5</x:v>
      </x:c>
      <x:c r="H139" s="2" t="str">
        <x:v>Iteration 3</x:v>
      </x:c>
      <x:c r="I139" s="21" t="str">
        <x:v>To Do</x:v>
      </x:c>
      <x:c r="J139" s="21" t="str">
        <x:v>Review due</x:v>
      </x:c>
      <x:c r="K139" s="2" t="str">
        <x:v>hieudt</x:v>
      </x:c>
      <x:c r="L139" s="4" t="d">
        <x:v>2026-11-27T00:00:00.000Z</x:v>
      </x:c>
      <x:c r="M139" s="21" t="str">
        <x:v>N/A</x:v>
      </x:c>
      <x:c r="N139" s="2" t="str">
        <x:v>bachhm</x:v>
      </x:c>
      <x:c r="O139" s="4" t="d">
        <x:v>2026-11-27T00:00:00.000Z</x:v>
      </x:c>
      <x:c r="P139" s="21" t="str">
        <x:v>N/A</x:v>
      </x:c>
      <x:c r="Q139" s="2" t="str">
        <x:v>bachhm</x:v>
      </x:c>
      <x:c r="R139" s="4" t="d">
        <x:v>2026-11-27T00:00:00.000Z</x:v>
      </x:c>
      <x:c r="S139" s="17" t="str">
        <x:v>Record completion and peer-reviewed evidence. No test result is pre-filled as passed.</x:v>
      </x:c>
      <x:c r="T139" s="2" t="str">
        <x:v>hieudt-REG</x:v>
      </x:c>
      <x:c r="U139" s="2" t="str">
        <x:v>hieudt</x:v>
      </x:c>
      <x:c r="V139" s="4" t="d">
        <x:v>2026-11-23T00:00:00.000Z</x:v>
      </x:c>
      <x:c r="W139" s="4" t="d">
        <x:v>2026-11-27T00:00:00.000Z</x:v>
      </x:c>
      <x:c r="X139" s="22" t="n">
        <x:v>0</x:v>
      </x:c>
      <x:c r="Y139" s="23"/>
      <x:c r="Z139" s="17" t="str">
        <x:v>Inventory, relocation and warehouse transfer</x:v>
      </x:c>
      <x:c r="AA139" s="2" t="str">
        <x:v>SUPPORT</x:v>
      </x:c>
      <x:c r="AB139" s="23" t="n">
        <x:v>0</x:v>
      </x:c>
      <x:c r="AC139" s="23" t="n">
        <x:v>0</x:v>
      </x:c>
      <x:c r="AD139" s="23" t="n">
        <x:v>0</x:v>
      </x:c>
      <x:c r="AE139" s="23" t="n">
        <x:v>0</x:v>
      </x:c>
      <x:c r="AF139" s="23" t="n">
        <x:v>1.5</x:v>
      </x:c>
      <x:c r="AG139" s="2" t="str">
        <x:f>IF(AA139="RETIRED","Excluded",IF(AA139="ACTIVE",IF(AND(I139="Complete",J139="Reviewed",M139="Ready",P139="Passed",X139=1),"Accepted","Pending"),IF(AND(I139="Complete",J139="Reviewed"),"Done","Pending")))</x:f>
        <x:v>Pending</x:v>
      </x:c>
      <x:c r="AH139" s="2" t="str">
        <x:f>IF(AA139="RETIRED","Excluded",IF(OR(AG139="Accepted",AG139="Done"),"Done",IF(ISNUMBER(W139),IF(W139&lt;$N$3,"Overdue","Planned"),"Verify baseline")))</x:f>
        <x:v>Planned</x:v>
      </x:c>
    </x:row>
    <x:row r="140" ht="48" customHeight="1">
      <x:c r="A140" s="17" t="str">
        <x:v>hieudt-RELEASE · Finalize module documentation and handover</x:v>
      </x:c>
      <x:c r="B140" s="2" t="str">
        <x:v>Delivery support</x:v>
      </x:c>
      <x:c r="C140" s="17" t="str">
        <x:v>hieudt · Inventory, relocation and warehouse transfer</x:v>
      </x:c>
      <x:c r="D140" s="2" t="str">
        <x:v>Task</x:v>
      </x:c>
      <x:c r="E140" s="17" t="str">
        <x:v>Finalize SRS/SDS/Report 5 evidence and Report 6 module guide; prepare seed/demo data, deployment checks and a named reviewer sign-off.</x:v>
      </x:c>
      <x:c r="F140" s="2" t="str">
        <x:v>Medium</x:v>
      </x:c>
      <x:c r="G140" s="13" t="n">
        <x:f>SUM(AB140:AF140)</x:f>
        <x:v>1</x:v>
      </x:c>
      <x:c r="H140" s="2" t="str">
        <x:v>Iteration 3</x:v>
      </x:c>
      <x:c r="I140" s="21" t="str">
        <x:v>To Do</x:v>
      </x:c>
      <x:c r="J140" s="21" t="str">
        <x:v>Review due</x:v>
      </x:c>
      <x:c r="K140" s="2" t="str">
        <x:v>hieudt</x:v>
      </x:c>
      <x:c r="L140" s="4" t="d">
        <x:v>2026-11-27T00:00:00.000Z</x:v>
      </x:c>
      <x:c r="M140" s="21" t="str">
        <x:v>N/A</x:v>
      </x:c>
      <x:c r="N140" s="2" t="str">
        <x:v>bachhm</x:v>
      </x:c>
      <x:c r="O140" s="4" t="d">
        <x:v>2026-11-27T00:00:00.000Z</x:v>
      </x:c>
      <x:c r="P140" s="21" t="str">
        <x:v>N/A</x:v>
      </x:c>
      <x:c r="Q140" s="2" t="str">
        <x:v>bachhm</x:v>
      </x:c>
      <x:c r="R140" s="4" t="d">
        <x:v>2026-11-27T00:00:00.000Z</x:v>
      </x:c>
      <x:c r="S140" s="17" t="str">
        <x:v>Record completion and peer-reviewed evidence. No test result is pre-filled as passed.</x:v>
      </x:c>
      <x:c r="T140" s="2" t="str">
        <x:v>hieudt-RELEASE</x:v>
      </x:c>
      <x:c r="U140" s="2" t="str">
        <x:v>hieudt</x:v>
      </x:c>
      <x:c r="V140" s="4" t="d">
        <x:v>2026-11-23T00:00:00.000Z</x:v>
      </x:c>
      <x:c r="W140" s="4" t="d">
        <x:v>2026-11-27T00:00:00.000Z</x:v>
      </x:c>
      <x:c r="X140" s="22" t="n">
        <x:v>0</x:v>
      </x:c>
      <x:c r="Y140" s="23"/>
      <x:c r="Z140" s="17" t="str">
        <x:v>hieudt-REG</x:v>
      </x:c>
      <x:c r="AA140" s="2" t="str">
        <x:v>SUPPORT</x:v>
      </x:c>
      <x:c r="AB140" s="23" t="n">
        <x:v>0</x:v>
      </x:c>
      <x:c r="AC140" s="23" t="n">
        <x:v>0</x:v>
      </x:c>
      <x:c r="AD140" s="23" t="n">
        <x:v>0</x:v>
      </x:c>
      <x:c r="AE140" s="23" t="n">
        <x:v>0</x:v>
      </x:c>
      <x:c r="AF140" s="23" t="n">
        <x:v>1</x:v>
      </x:c>
      <x:c r="AG140" s="2" t="str">
        <x:f>IF(AA140="RETIRED","Excluded",IF(AA140="ACTIVE",IF(AND(I140="Complete",J140="Reviewed",M140="Ready",P140="Passed",X140=1),"Accepted","Pending"),IF(AND(I140="Complete",J140="Reviewed"),"Done","Pending")))</x:f>
        <x:v>Pending</x:v>
      </x:c>
      <x:c r="AH140" s="2" t="str">
        <x:f>IF(AA140="RETIRED","Excluded",IF(OR(AG140="Accepted",AG140="Done"),"Done",IF(ISNUMBER(W140),IF(W140&lt;$N$3,"Overdue","Planned"),"Verify baseline")))</x:f>
        <x:v>Planned</x:v>
      </x:c>
    </x:row>
    <x:row r="141" ht="48" customHeight="1">
      <x:c r="A141" s="17" t="str">
        <x:v>danghh-CONTRACT · Confirm module API/data and shared contracts</x:v>
      </x:c>
      <x:c r="B141" s="2" t="str">
        <x:v>Delivery support</x:v>
      </x:c>
      <x:c r="C141" s="17" t="str">
        <x:v>danghh · Customer, sales order and goods issue</x:v>
      </x:c>
      <x:c r="D141" s="2" t="str">
        <x:v>Task</x:v>
      </x:c>
      <x:c r="E141" s="17" t="str">
        <x:v>Freeze source IDs, versions, UOM, stock posting, reservations, freeze checks, evidence links and role/warehouse scope. Publish module interfaces and seed data.</x:v>
      </x:c>
      <x:c r="F141" s="2" t="str">
        <x:v>Medium</x:v>
      </x:c>
      <x:c r="G141" s="13" t="n">
        <x:f>SUM(AB141:AF141)</x:f>
        <x:v>0.5</x:v>
      </x:c>
      <x:c r="H141" s="2" t="str">
        <x:v>Iteration 1</x:v>
      </x:c>
      <x:c r="I141" s="21" t="str">
        <x:v>To Do</x:v>
      </x:c>
      <x:c r="J141" s="21" t="str">
        <x:v>Review due</x:v>
      </x:c>
      <x:c r="K141" s="2" t="str">
        <x:v>danghh</x:v>
      </x:c>
      <x:c r="L141" s="4" t="d">
        <x:v>2026-11-27T00:00:00.000Z</x:v>
      </x:c>
      <x:c r="M141" s="21" t="str">
        <x:v>N/A</x:v>
      </x:c>
      <x:c r="N141" s="2" t="str">
        <x:v>minhtd</x:v>
      </x:c>
      <x:c r="O141" s="4" t="d">
        <x:v>2026-11-27T00:00:00.000Z</x:v>
      </x:c>
      <x:c r="P141" s="21" t="str">
        <x:v>N/A</x:v>
      </x:c>
      <x:c r="Q141" s="2" t="str">
        <x:v>minhtd</x:v>
      </x:c>
      <x:c r="R141" s="4" t="d">
        <x:v>2026-11-27T00:00:00.000Z</x:v>
      </x:c>
      <x:c r="S141" s="17" t="str">
        <x:v>Record completion and peer-reviewed evidence. No test result is pre-filled as passed.</x:v>
      </x:c>
      <x:c r="T141" s="2" t="str">
        <x:v>danghh-CONTRACT</x:v>
      </x:c>
      <x:c r="U141" s="2" t="str">
        <x:v>danghh</x:v>
      </x:c>
      <x:c r="V141" s="4" t="d">
        <x:v>2026-10-26T00:00:00.000Z</x:v>
      </x:c>
      <x:c r="W141" s="4" t="d">
        <x:v>2026-10-30T00:00:00.000Z</x:v>
      </x:c>
      <x:c r="X141" s="22" t="n">
        <x:v>0</x:v>
      </x:c>
      <x:c r="Y141" s="23"/>
      <x:c r="Z141" s="17" t="str">
        <x:v>CORE-01</x:v>
      </x:c>
      <x:c r="AA141" s="2" t="str">
        <x:v>SUPPORT</x:v>
      </x:c>
      <x:c r="AB141" s="23" t="n">
        <x:v>0.5</x:v>
      </x:c>
      <x:c r="AC141" s="23" t="n">
        <x:v>0</x:v>
      </x:c>
      <x:c r="AD141" s="23" t="n">
        <x:v>0</x:v>
      </x:c>
      <x:c r="AE141" s="23" t="n">
        <x:v>0</x:v>
      </x:c>
      <x:c r="AF141" s="23" t="n">
        <x:v>0</x:v>
      </x:c>
      <x:c r="AG141" s="2" t="str">
        <x:f>IF(AA141="RETIRED","Excluded",IF(AA141="ACTIVE",IF(AND(I141="Complete",J141="Reviewed",M141="Ready",P141="Passed",X141=1),"Accepted","Pending"),IF(AND(I141="Complete",J141="Reviewed"),"Done","Pending")))</x:f>
        <x:v>Pending</x:v>
      </x:c>
      <x:c r="AH141" s="2" t="str">
        <x:f>IF(AA141="RETIRED","Excluded",IF(OR(AG141="Accepted",AG141="Done"),"Done",IF(ISNUMBER(W141),IF(W141&lt;$N$3,"Overdue","Planned"),"Verify baseline")))</x:f>
        <x:v>Planned</x:v>
      </x:c>
    </x:row>
    <x:row r="142" ht="43" customHeight="1">
      <x:c r="A142" s="17" t="str">
        <x:v>danghh-IT-1 · Execute first vertical integration tests</x:v>
      </x:c>
      <x:c r="B142" s="2" t="str">
        <x:v>Delivery support</x:v>
      </x:c>
      <x:c r="C142" s="17" t="str">
        <x:v>danghh · Customer, sales order and goods issue</x:v>
      </x:c>
      <x:c r="D142" s="2" t="str">
        <x:v>Task</x:v>
      </x:c>
      <x:c r="E142" s="17" t="str">
        <x:v>Peer-test the first operational slice; record actual results and defects, including wrong-role and duplicate-submit cases.</x:v>
      </x:c>
      <x:c r="F142" s="2" t="str">
        <x:v>Medium</x:v>
      </x:c>
      <x:c r="G142" s="13" t="n">
        <x:f>SUM(AB142:AF142)</x:f>
        <x:v>0.5</x:v>
      </x:c>
      <x:c r="H142" s="2" t="str">
        <x:v>Iteration 1</x:v>
      </x:c>
      <x:c r="I142" s="21" t="str">
        <x:v>To Do</x:v>
      </x:c>
      <x:c r="J142" s="21" t="str">
        <x:v>Review due</x:v>
      </x:c>
      <x:c r="K142" s="2" t="str">
        <x:v>danghh</x:v>
      </x:c>
      <x:c r="L142" s="4" t="d">
        <x:v>2026-11-27T00:00:00.000Z</x:v>
      </x:c>
      <x:c r="M142" s="21" t="str">
        <x:v>N/A</x:v>
      </x:c>
      <x:c r="N142" s="2" t="str">
        <x:v>minhtd</x:v>
      </x:c>
      <x:c r="O142" s="4" t="d">
        <x:v>2026-11-27T00:00:00.000Z</x:v>
      </x:c>
      <x:c r="P142" s="21" t="str">
        <x:v>N/A</x:v>
      </x:c>
      <x:c r="Q142" s="2" t="str">
        <x:v>minhtd</x:v>
      </x:c>
      <x:c r="R142" s="4" t="d">
        <x:v>2026-11-27T00:00:00.000Z</x:v>
      </x:c>
      <x:c r="S142" s="17" t="str">
        <x:v>Record completion and peer-reviewed evidence. No test result is pre-filled as passed.</x:v>
      </x:c>
      <x:c r="T142" s="2" t="str">
        <x:v>danghh-IT-1</x:v>
      </x:c>
      <x:c r="U142" s="2" t="str">
        <x:v>danghh</x:v>
      </x:c>
      <x:c r="V142" s="4" t="d">
        <x:v>2026-11-02T00:00:00.000Z</x:v>
      </x:c>
      <x:c r="W142" s="4" t="d">
        <x:v>2026-11-06T00:00:00.000Z</x:v>
      </x:c>
      <x:c r="X142" s="22" t="n">
        <x:v>0</x:v>
      </x:c>
      <x:c r="Y142" s="23"/>
      <x:c r="Z142" s="17" t="str">
        <x:v>Customer, sales order and goods issue</x:v>
      </x:c>
      <x:c r="AA142" s="2" t="str">
        <x:v>SUPPORT</x:v>
      </x:c>
      <x:c r="AB142" s="23" t="n">
        <x:v>0</x:v>
      </x:c>
      <x:c r="AC142" s="23" t="n">
        <x:v>0.5</x:v>
      </x:c>
      <x:c r="AD142" s="23" t="n">
        <x:v>0</x:v>
      </x:c>
      <x:c r="AE142" s="23" t="n">
        <x:v>0</x:v>
      </x:c>
      <x:c r="AF142" s="23" t="n">
        <x:v>0</x:v>
      </x:c>
      <x:c r="AG142" s="2" t="str">
        <x:f>IF(AA142="RETIRED","Excluded",IF(AA142="ACTIVE",IF(AND(I142="Complete",J142="Reviewed",M142="Ready",P142="Passed",X142=1),"Accepted","Pending"),IF(AND(I142="Complete",J142="Reviewed"),"Done","Pending")))</x:f>
        <x:v>Pending</x:v>
      </x:c>
      <x:c r="AH142" s="2" t="str">
        <x:f>IF(AA142="RETIRED","Excluded",IF(OR(AG142="Accepted",AG142="Done"),"Done",IF(ISNUMBER(W142),IF(W142&lt;$N$3,"Overdue","Planned"),"Verify baseline")))</x:f>
        <x:v>Planned</x:v>
      </x:c>
    </x:row>
    <x:row r="143" ht="43" customHeight="1">
      <x:c r="A143" s="17" t="str">
        <x:v>danghh-DOC · Synchronize module SRS, SDS and test documentation</x:v>
      </x:c>
      <x:c r="B143" s="2" t="str">
        <x:v>Delivery support</x:v>
      </x:c>
      <x:c r="C143" s="17" t="str">
        <x:v>danghh · Customer, sales order and goods issue</x:v>
      </x:c>
      <x:c r="D143" s="2" t="str">
        <x:v>Task</x:v>
      </x:c>
      <x:c r="E143" s="17" t="str">
        <x:v>Update assigned use cases, API/data/state designs and test cases against implementation; keep baseline 3.1.0 business rules.</x:v>
      </x:c>
      <x:c r="F143" s="2" t="str">
        <x:v>Medium</x:v>
      </x:c>
      <x:c r="G143" s="13" t="n">
        <x:f>SUM(AB143:AF143)</x:f>
        <x:v>0.75</x:v>
      </x:c>
      <x:c r="H143" s="2" t="str">
        <x:v>Iteration 2</x:v>
      </x:c>
      <x:c r="I143" s="21" t="str">
        <x:v>To Do</x:v>
      </x:c>
      <x:c r="J143" s="21" t="str">
        <x:v>Review due</x:v>
      </x:c>
      <x:c r="K143" s="2" t="str">
        <x:v>danghh</x:v>
      </x:c>
      <x:c r="L143" s="4" t="d">
        <x:v>2026-11-27T00:00:00.000Z</x:v>
      </x:c>
      <x:c r="M143" s="21" t="str">
        <x:v>N/A</x:v>
      </x:c>
      <x:c r="N143" s="2" t="str">
        <x:v>minhtd</x:v>
      </x:c>
      <x:c r="O143" s="4" t="d">
        <x:v>2026-11-27T00:00:00.000Z</x:v>
      </x:c>
      <x:c r="P143" s="21" t="str">
        <x:v>N/A</x:v>
      </x:c>
      <x:c r="Q143" s="2" t="str">
        <x:v>minhtd</x:v>
      </x:c>
      <x:c r="R143" s="4" t="d">
        <x:v>2026-11-27T00:00:00.000Z</x:v>
      </x:c>
      <x:c r="S143" s="17" t="str">
        <x:v>Record completion and peer-reviewed evidence. No test result is pre-filled as passed.</x:v>
      </x:c>
      <x:c r="T143" s="2" t="str">
        <x:v>danghh-DOC</x:v>
      </x:c>
      <x:c r="U143" s="2" t="str">
        <x:v>danghh</x:v>
      </x:c>
      <x:c r="V143" s="4" t="d">
        <x:v>2026-11-09T00:00:00.000Z</x:v>
      </x:c>
      <x:c r="W143" s="4" t="d">
        <x:v>2026-11-13T00:00:00.000Z</x:v>
      </x:c>
      <x:c r="X143" s="22" t="n">
        <x:v>0</x:v>
      </x:c>
      <x:c r="Y143" s="23"/>
      <x:c r="Z143" s="17" t="str">
        <x:v>Customer, sales order and goods issue</x:v>
      </x:c>
      <x:c r="AA143" s="2" t="str">
        <x:v>SUPPORT</x:v>
      </x:c>
      <x:c r="AB143" s="23" t="n">
        <x:v>0</x:v>
      </x:c>
      <x:c r="AC143" s="23" t="n">
        <x:v>0</x:v>
      </x:c>
      <x:c r="AD143" s="23" t="n">
        <x:v>0.75</x:v>
      </x:c>
      <x:c r="AE143" s="23" t="n">
        <x:v>0</x:v>
      </x:c>
      <x:c r="AF143" s="23" t="n">
        <x:v>0</x:v>
      </x:c>
      <x:c r="AG143" s="2" t="str">
        <x:f>IF(AA143="RETIRED","Excluded",IF(AA143="ACTIVE",IF(AND(I143="Complete",J143="Reviewed",M143="Ready",P143="Passed",X143=1),"Accepted","Pending"),IF(AND(I143="Complete",J143="Reviewed"),"Done","Pending")))</x:f>
        <x:v>Pending</x:v>
      </x:c>
      <x:c r="AH143" s="2" t="str">
        <x:f>IF(AA143="RETIRED","Excluded",IF(OR(AG143="Accepted",AG143="Done"),"Done",IF(ISNUMBER(W143),IF(W143&lt;$N$3,"Overdue","Planned"),"Verify baseline")))</x:f>
        <x:v>Planned</x:v>
      </x:c>
    </x:row>
    <x:row r="144" ht="43" customHeight="1">
      <x:c r="A144" s="17" t="str">
        <x:v>danghh-IT-2 · Execute cross-module and exception tests</x:v>
      </x:c>
      <x:c r="B144" s="2" t="str">
        <x:v>Delivery support</x:v>
      </x:c>
      <x:c r="C144" s="17" t="str">
        <x:v>danghh · Customer, sales order and goods issue</x:v>
      </x:c>
      <x:c r="D144" s="2" t="str">
        <x:v>Task</x:v>
      </x:c>
      <x:c r="E144" s="17" t="str">
        <x:v>Execute partial/negative/concurrent/retry/rollback scenarios and cross-owner interfaces. Fix and retest; do not fabricate outcomes.</x:v>
      </x:c>
      <x:c r="F144" s="2" t="str">
        <x:v>Medium</x:v>
      </x:c>
      <x:c r="G144" s="13" t="n">
        <x:f>SUM(AB144:AF144)</x:f>
        <x:v>0.75</x:v>
      </x:c>
      <x:c r="H144" s="2" t="str">
        <x:v>Iteration 2</x:v>
      </x:c>
      <x:c r="I144" s="21" t="str">
        <x:v>To Do</x:v>
      </x:c>
      <x:c r="J144" s="21" t="str">
        <x:v>Review due</x:v>
      </x:c>
      <x:c r="K144" s="2" t="str">
        <x:v>danghh</x:v>
      </x:c>
      <x:c r="L144" s="4" t="d">
        <x:v>2026-11-27T00:00:00.000Z</x:v>
      </x:c>
      <x:c r="M144" s="21" t="str">
        <x:v>N/A</x:v>
      </x:c>
      <x:c r="N144" s="2" t="str">
        <x:v>minhtd</x:v>
      </x:c>
      <x:c r="O144" s="4" t="d">
        <x:v>2026-11-27T00:00:00.000Z</x:v>
      </x:c>
      <x:c r="P144" s="21" t="str">
        <x:v>N/A</x:v>
      </x:c>
      <x:c r="Q144" s="2" t="str">
        <x:v>minhtd</x:v>
      </x:c>
      <x:c r="R144" s="4" t="d">
        <x:v>2026-11-27T00:00:00.000Z</x:v>
      </x:c>
      <x:c r="S144" s="17" t="str">
        <x:v>Record completion and peer-reviewed evidence. No test result is pre-filled as passed.</x:v>
      </x:c>
      <x:c r="T144" s="2" t="str">
        <x:v>danghh-IT-2</x:v>
      </x:c>
      <x:c r="U144" s="2" t="str">
        <x:v>danghh</x:v>
      </x:c>
      <x:c r="V144" s="4" t="d">
        <x:v>2026-11-16T00:00:00.000Z</x:v>
      </x:c>
      <x:c r="W144" s="4" t="d">
        <x:v>2026-11-20T00:00:00.000Z</x:v>
      </x:c>
      <x:c r="X144" s="22" t="n">
        <x:v>0</x:v>
      </x:c>
      <x:c r="Y144" s="23"/>
      <x:c r="Z144" s="17" t="str">
        <x:v>Customer, sales order and goods issue</x:v>
      </x:c>
      <x:c r="AA144" s="2" t="str">
        <x:v>SUPPORT</x:v>
      </x:c>
      <x:c r="AB144" s="23" t="n">
        <x:v>0</x:v>
      </x:c>
      <x:c r="AC144" s="23" t="n">
        <x:v>0</x:v>
      </x:c>
      <x:c r="AD144" s="23" t="n">
        <x:v>0</x:v>
      </x:c>
      <x:c r="AE144" s="23" t="n">
        <x:v>0.75</x:v>
      </x:c>
      <x:c r="AF144" s="23" t="n">
        <x:v>0</x:v>
      </x:c>
      <x:c r="AG144" s="2" t="str">
        <x:f>IF(AA144="RETIRED","Excluded",IF(AA144="ACTIVE",IF(AND(I144="Complete",J144="Reviewed",M144="Ready",P144="Passed",X144=1),"Accepted","Pending"),IF(AND(I144="Complete",J144="Reviewed"),"Done","Pending")))</x:f>
        <x:v>Pending</x:v>
      </x:c>
      <x:c r="AH144" s="2" t="str">
        <x:f>IF(AA144="RETIRED","Excluded",IF(OR(AG144="Accepted",AG144="Done"),"Done",IF(ISNUMBER(W144),IF(W144&lt;$N$3,"Overdue","Planned"),"Verify baseline")))</x:f>
        <x:v>Planned</x:v>
      </x:c>
    </x:row>
    <x:row r="145" ht="43" customHeight="1">
      <x:c r="A145" s="17" t="str">
        <x:v>danghh-REG · Run final module regression and fix defects</x:v>
      </x:c>
      <x:c r="B145" s="2" t="str">
        <x:v>Delivery support</x:v>
      </x:c>
      <x:c r="C145" s="17" t="str">
        <x:v>danghh · Customer, sales order and goods issue</x:v>
      </x:c>
      <x:c r="D145" s="2" t="str">
        <x:v>Task</x:v>
      </x:c>
      <x:c r="E145" s="17" t="str">
        <x:v>Run UI–API–MongoDB/evidence tests for all owned active UC, foundation regression and key warehouse exceptions. Close critical/high release blockers.</x:v>
      </x:c>
      <x:c r="F145" s="2" t="str">
        <x:v>Medium</x:v>
      </x:c>
      <x:c r="G145" s="13" t="n">
        <x:f>SUM(AB145:AF145)</x:f>
        <x:v>1.5</x:v>
      </x:c>
      <x:c r="H145" s="2" t="str">
        <x:v>Iteration 3</x:v>
      </x:c>
      <x:c r="I145" s="21" t="str">
        <x:v>To Do</x:v>
      </x:c>
      <x:c r="J145" s="21" t="str">
        <x:v>Review due</x:v>
      </x:c>
      <x:c r="K145" s="2" t="str">
        <x:v>danghh</x:v>
      </x:c>
      <x:c r="L145" s="4" t="d">
        <x:v>2026-11-27T00:00:00.000Z</x:v>
      </x:c>
      <x:c r="M145" s="21" t="str">
        <x:v>N/A</x:v>
      </x:c>
      <x:c r="N145" s="2" t="str">
        <x:v>minhtd</x:v>
      </x:c>
      <x:c r="O145" s="4" t="d">
        <x:v>2026-11-27T00:00:00.000Z</x:v>
      </x:c>
      <x:c r="P145" s="21" t="str">
        <x:v>N/A</x:v>
      </x:c>
      <x:c r="Q145" s="2" t="str">
        <x:v>minhtd</x:v>
      </x:c>
      <x:c r="R145" s="4" t="d">
        <x:v>2026-11-27T00:00:00.000Z</x:v>
      </x:c>
      <x:c r="S145" s="17" t="str">
        <x:v>Record completion and peer-reviewed evidence. No test result is pre-filled as passed.</x:v>
      </x:c>
      <x:c r="T145" s="2" t="str">
        <x:v>danghh-REG</x:v>
      </x:c>
      <x:c r="U145" s="2" t="str">
        <x:v>danghh</x:v>
      </x:c>
      <x:c r="V145" s="4" t="d">
        <x:v>2026-11-23T00:00:00.000Z</x:v>
      </x:c>
      <x:c r="W145" s="4" t="d">
        <x:v>2026-11-27T00:00:00.000Z</x:v>
      </x:c>
      <x:c r="X145" s="22" t="n">
        <x:v>0</x:v>
      </x:c>
      <x:c r="Y145" s="23"/>
      <x:c r="Z145" s="17" t="str">
        <x:v>Customer, sales order and goods issue</x:v>
      </x:c>
      <x:c r="AA145" s="2" t="str">
        <x:v>SUPPORT</x:v>
      </x:c>
      <x:c r="AB145" s="23" t="n">
        <x:v>0</x:v>
      </x:c>
      <x:c r="AC145" s="23" t="n">
        <x:v>0</x:v>
      </x:c>
      <x:c r="AD145" s="23" t="n">
        <x:v>0</x:v>
      </x:c>
      <x:c r="AE145" s="23" t="n">
        <x:v>0</x:v>
      </x:c>
      <x:c r="AF145" s="23" t="n">
        <x:v>1.5</x:v>
      </x:c>
      <x:c r="AG145" s="2" t="str">
        <x:f>IF(AA145="RETIRED","Excluded",IF(AA145="ACTIVE",IF(AND(I145="Complete",J145="Reviewed",M145="Ready",P145="Passed",X145=1),"Accepted","Pending"),IF(AND(I145="Complete",J145="Reviewed"),"Done","Pending")))</x:f>
        <x:v>Pending</x:v>
      </x:c>
      <x:c r="AH145" s="2" t="str">
        <x:f>IF(AA145="RETIRED","Excluded",IF(OR(AG145="Accepted",AG145="Done"),"Done",IF(ISNUMBER(W145),IF(W145&lt;$N$3,"Overdue","Planned"),"Verify baseline")))</x:f>
        <x:v>Planned</x:v>
      </x:c>
    </x:row>
    <x:row r="146" ht="43" customHeight="1">
      <x:c r="A146" s="17" t="str">
        <x:v>danghh-RELEASE · Finalize module documentation and handover</x:v>
      </x:c>
      <x:c r="B146" s="2" t="str">
        <x:v>Delivery support</x:v>
      </x:c>
      <x:c r="C146" s="17" t="str">
        <x:v>danghh · Customer, sales order and goods issue</x:v>
      </x:c>
      <x:c r="D146" s="2" t="str">
        <x:v>Task</x:v>
      </x:c>
      <x:c r="E146" s="17" t="str">
        <x:v>Finalize SRS/SDS/Report 5 evidence and Report 6 module guide; prepare seed/demo data, deployment checks and a named reviewer sign-off.</x:v>
      </x:c>
      <x:c r="F146" s="2" t="str">
        <x:v>Medium</x:v>
      </x:c>
      <x:c r="G146" s="13" t="n">
        <x:f>SUM(AB146:AF146)</x:f>
        <x:v>1</x:v>
      </x:c>
      <x:c r="H146" s="2" t="str">
        <x:v>Iteration 3</x:v>
      </x:c>
      <x:c r="I146" s="21" t="str">
        <x:v>To Do</x:v>
      </x:c>
      <x:c r="J146" s="21" t="str">
        <x:v>Review due</x:v>
      </x:c>
      <x:c r="K146" s="2" t="str">
        <x:v>danghh</x:v>
      </x:c>
      <x:c r="L146" s="4" t="d">
        <x:v>2026-11-27T00:00:00.000Z</x:v>
      </x:c>
      <x:c r="M146" s="21" t="str">
        <x:v>N/A</x:v>
      </x:c>
      <x:c r="N146" s="2" t="str">
        <x:v>minhtd</x:v>
      </x:c>
      <x:c r="O146" s="4" t="d">
        <x:v>2026-11-27T00:00:00.000Z</x:v>
      </x:c>
      <x:c r="P146" s="21" t="str">
        <x:v>N/A</x:v>
      </x:c>
      <x:c r="Q146" s="2" t="str">
        <x:v>minhtd</x:v>
      </x:c>
      <x:c r="R146" s="4" t="d">
        <x:v>2026-11-27T00:00:00.000Z</x:v>
      </x:c>
      <x:c r="S146" s="17" t="str">
        <x:v>Record completion and peer-reviewed evidence. No test result is pre-filled as passed.</x:v>
      </x:c>
      <x:c r="T146" s="2" t="str">
        <x:v>danghh-RELEASE</x:v>
      </x:c>
      <x:c r="U146" s="2" t="str">
        <x:v>danghh</x:v>
      </x:c>
      <x:c r="V146" s="4" t="d">
        <x:v>2026-11-23T00:00:00.000Z</x:v>
      </x:c>
      <x:c r="W146" s="4" t="d">
        <x:v>2026-11-27T00:00:00.000Z</x:v>
      </x:c>
      <x:c r="X146" s="22" t="n">
        <x:v>0</x:v>
      </x:c>
      <x:c r="Y146" s="23"/>
      <x:c r="Z146" s="17" t="str">
        <x:v>danghh-REG</x:v>
      </x:c>
      <x:c r="AA146" s="2" t="str">
        <x:v>SUPPORT</x:v>
      </x:c>
      <x:c r="AB146" s="23" t="n">
        <x:v>0</x:v>
      </x:c>
      <x:c r="AC146" s="23" t="n">
        <x:v>0</x:v>
      </x:c>
      <x:c r="AD146" s="23" t="n">
        <x:v>0</x:v>
      </x:c>
      <x:c r="AE146" s="23" t="n">
        <x:v>0</x:v>
      </x:c>
      <x:c r="AF146" s="23" t="n">
        <x:v>1</x:v>
      </x:c>
      <x:c r="AG146" s="2" t="str">
        <x:f>IF(AA146="RETIRED","Excluded",IF(AA146="ACTIVE",IF(AND(I146="Complete",J146="Reviewed",M146="Ready",P146="Passed",X146=1),"Accepted","Pending"),IF(AND(I146="Complete",J146="Reviewed"),"Done","Pending")))</x:f>
        <x:v>Pending</x:v>
      </x:c>
      <x:c r="AH146" s="2" t="str">
        <x:f>IF(AA146="RETIRED","Excluded",IF(OR(AG146="Accepted",AG146="Done"),"Done",IF(ISNUMBER(W146),IF(W146&lt;$N$3,"Overdue","Planned"),"Verify baseline")))</x:f>
        <x:v>Planned</x:v>
      </x:c>
    </x:row>
    <x:row r="147" ht="48" customHeight="1">
      <x:c r="A147" s="17" t="str">
        <x:v>trungph-CONTRACT · Confirm module API/data and shared contracts</x:v>
      </x:c>
      <x:c r="B147" s="2" t="str">
        <x:v>Delivery support</x:v>
      </x:c>
      <x:c r="C147" s="17" t="str">
        <x:v>trungph · Defects, customer and supplier returns</x:v>
      </x:c>
      <x:c r="D147" s="2" t="str">
        <x:v>Task</x:v>
      </x:c>
      <x:c r="E147" s="17" t="str">
        <x:v>Freeze source IDs, versions, UOM, stock posting, reservations, freeze checks, evidence links and role/warehouse scope. Publish module interfaces and seed data.</x:v>
      </x:c>
      <x:c r="F147" s="2" t="str">
        <x:v>Medium</x:v>
      </x:c>
      <x:c r="G147" s="13" t="n">
        <x:f>SUM(AB147:AF147)</x:f>
        <x:v>0.5</x:v>
      </x:c>
      <x:c r="H147" s="2" t="str">
        <x:v>Iteration 1</x:v>
      </x:c>
      <x:c r="I147" s="21" t="str">
        <x:v>To Do</x:v>
      </x:c>
      <x:c r="J147" s="21" t="str">
        <x:v>Review due</x:v>
      </x:c>
      <x:c r="K147" s="2" t="str">
        <x:v>trungph</x:v>
      </x:c>
      <x:c r="L147" s="4" t="d">
        <x:v>2026-11-27T00:00:00.000Z</x:v>
      </x:c>
      <x:c r="M147" s="21" t="str">
        <x:v>N/A</x:v>
      </x:c>
      <x:c r="N147" s="2" t="str">
        <x:v>danghh</x:v>
      </x:c>
      <x:c r="O147" s="4" t="d">
        <x:v>2026-11-27T00:00:00.000Z</x:v>
      </x:c>
      <x:c r="P147" s="21" t="str">
        <x:v>N/A</x:v>
      </x:c>
      <x:c r="Q147" s="2" t="str">
        <x:v>danghh</x:v>
      </x:c>
      <x:c r="R147" s="4" t="d">
        <x:v>2026-11-27T00:00:00.000Z</x:v>
      </x:c>
      <x:c r="S147" s="17" t="str">
        <x:v>Record completion and peer-reviewed evidence. No test result is pre-filled as passed.</x:v>
      </x:c>
      <x:c r="T147" s="2" t="str">
        <x:v>trungph-CONTRACT</x:v>
      </x:c>
      <x:c r="U147" s="2" t="str">
        <x:v>trungph</x:v>
      </x:c>
      <x:c r="V147" s="4" t="d">
        <x:v>2026-10-26T00:00:00.000Z</x:v>
      </x:c>
      <x:c r="W147" s="4" t="d">
        <x:v>2026-10-30T00:00:00.000Z</x:v>
      </x:c>
      <x:c r="X147" s="22" t="n">
        <x:v>0</x:v>
      </x:c>
      <x:c r="Y147" s="23"/>
      <x:c r="Z147" s="17" t="str">
        <x:v>CORE-01</x:v>
      </x:c>
      <x:c r="AA147" s="2" t="str">
        <x:v>SUPPORT</x:v>
      </x:c>
      <x:c r="AB147" s="23" t="n">
        <x:v>0.5</x:v>
      </x:c>
      <x:c r="AC147" s="23" t="n">
        <x:v>0</x:v>
      </x:c>
      <x:c r="AD147" s="23" t="n">
        <x:v>0</x:v>
      </x:c>
      <x:c r="AE147" s="23" t="n">
        <x:v>0</x:v>
      </x:c>
      <x:c r="AF147" s="23" t="n">
        <x:v>0</x:v>
      </x:c>
      <x:c r="AG147" s="2" t="str">
        <x:f>IF(AA147="RETIRED","Excluded",IF(AA147="ACTIVE",IF(AND(I147="Complete",J147="Reviewed",M147="Ready",P147="Passed",X147=1),"Accepted","Pending"),IF(AND(I147="Complete",J147="Reviewed"),"Done","Pending")))</x:f>
        <x:v>Pending</x:v>
      </x:c>
      <x:c r="AH147" s="2" t="str">
        <x:f>IF(AA147="RETIRED","Excluded",IF(OR(AG147="Accepted",AG147="Done"),"Done",IF(ISNUMBER(W147),IF(W147&lt;$N$3,"Overdue","Planned"),"Verify baseline")))</x:f>
        <x:v>Planned</x:v>
      </x:c>
    </x:row>
    <x:row r="148" ht="48" customHeight="1">
      <x:c r="A148" s="17" t="str">
        <x:v>trungph-IT-1 · Execute first vertical integration tests (returns support)</x:v>
      </x:c>
      <x:c r="B148" s="2" t="str">
        <x:v>Delivery support</x:v>
      </x:c>
      <x:c r="C148" s="17" t="str">
        <x:v>trungph · Defects, customer and supplier returns</x:v>
      </x:c>
      <x:c r="D148" s="2" t="str">
        <x:v>Task</x:v>
      </x:c>
      <x:c r="E148" s="17" t="str">
        <x:v>Peer-test the first operational slice; record actual results and defects, including wrong-role and duplicate-submit cases. bachhm executes this support task; trungph remains accountable for returns requirements and code.</x:v>
      </x:c>
      <x:c r="F148" s="2" t="str">
        <x:v>Medium</x:v>
      </x:c>
      <x:c r="G148" s="13" t="n">
        <x:f>SUM(AB148:AF148)</x:f>
        <x:v>0.5</x:v>
      </x:c>
      <x:c r="H148" s="2" t="str">
        <x:v>Iteration 1</x:v>
      </x:c>
      <x:c r="I148" s="21" t="str">
        <x:v>To Do</x:v>
      </x:c>
      <x:c r="J148" s="21" t="str">
        <x:v>Review due</x:v>
      </x:c>
      <x:c r="K148" s="2" t="str">
        <x:v>bachhm</x:v>
      </x:c>
      <x:c r="L148" s="4" t="d">
        <x:v>2026-11-27T00:00:00.000Z</x:v>
      </x:c>
      <x:c r="M148" s="21" t="str">
        <x:v>N/A</x:v>
      </x:c>
      <x:c r="N148" s="2" t="str">
        <x:v>trungph</x:v>
      </x:c>
      <x:c r="O148" s="4" t="d">
        <x:v>2026-11-27T00:00:00.000Z</x:v>
      </x:c>
      <x:c r="P148" s="21" t="str">
        <x:v>N/A</x:v>
      </x:c>
      <x:c r="Q148" s="2" t="str">
        <x:v>trungph</x:v>
      </x:c>
      <x:c r="R148" s="4" t="d">
        <x:v>2026-11-27T00:00:00.000Z</x:v>
      </x:c>
      <x:c r="S148" s="17" t="str">
        <x:v>bachhm provides test/document support; trungph retains returns business/code accountability.</x:v>
      </x:c>
      <x:c r="T148" s="2" t="str">
        <x:v>trungph-IT-1</x:v>
      </x:c>
      <x:c r="U148" s="2" t="str">
        <x:v>bachhm</x:v>
      </x:c>
      <x:c r="V148" s="4" t="d">
        <x:v>2026-11-02T00:00:00.000Z</x:v>
      </x:c>
      <x:c r="W148" s="4" t="d">
        <x:v>2026-11-06T00:00:00.000Z</x:v>
      </x:c>
      <x:c r="X148" s="22" t="n">
        <x:v>0</x:v>
      </x:c>
      <x:c r="Y148" s="23"/>
      <x:c r="Z148" s="17" t="str">
        <x:v>Defects, customer and supplier returns</x:v>
      </x:c>
      <x:c r="AA148" s="2" t="str">
        <x:v>SUPPORT</x:v>
      </x:c>
      <x:c r="AB148" s="23" t="n">
        <x:v>0</x:v>
      </x:c>
      <x:c r="AC148" s="23" t="n">
        <x:v>0.5</x:v>
      </x:c>
      <x:c r="AD148" s="23" t="n">
        <x:v>0</x:v>
      </x:c>
      <x:c r="AE148" s="23" t="n">
        <x:v>0</x:v>
      </x:c>
      <x:c r="AF148" s="23" t="n">
        <x:v>0</x:v>
      </x:c>
      <x:c r="AG148" s="2" t="str">
        <x:f>IF(AA148="RETIRED","Excluded",IF(AA148="ACTIVE",IF(AND(I148="Complete",J148="Reviewed",M148="Ready",P148="Passed",X148=1),"Accepted","Pending"),IF(AND(I148="Complete",J148="Reviewed"),"Done","Pending")))</x:f>
        <x:v>Pending</x:v>
      </x:c>
      <x:c r="AH148" s="2" t="str">
        <x:f>IF(AA148="RETIRED","Excluded",IF(OR(AG148="Accepted",AG148="Done"),"Done",IF(ISNUMBER(W148),IF(W148&lt;$N$3,"Overdue","Planned"),"Verify baseline")))</x:f>
        <x:v>Planned</x:v>
      </x:c>
    </x:row>
    <x:row r="149" ht="48" customHeight="1">
      <x:c r="A149" s="17" t="str">
        <x:v>trungph-DOC · Synchronize module SRS, SDS and test documentation (returns support)</x:v>
      </x:c>
      <x:c r="B149" s="2" t="str">
        <x:v>Delivery support</x:v>
      </x:c>
      <x:c r="C149" s="17" t="str">
        <x:v>trungph · Defects, customer and supplier returns</x:v>
      </x:c>
      <x:c r="D149" s="2" t="str">
        <x:v>Task</x:v>
      </x:c>
      <x:c r="E149" s="17" t="str">
        <x:v>Update assigned use cases, API/data/state designs and test cases against implementation; keep baseline 3.1.0 business rules. bachhm executes this support task; trungph remains accountable for returns requirements and code.</x:v>
      </x:c>
      <x:c r="F149" s="2" t="str">
        <x:v>Medium</x:v>
      </x:c>
      <x:c r="G149" s="13" t="n">
        <x:f>SUM(AB149:AF149)</x:f>
        <x:v>0.75</x:v>
      </x:c>
      <x:c r="H149" s="2" t="str">
        <x:v>Iteration 2</x:v>
      </x:c>
      <x:c r="I149" s="21" t="str">
        <x:v>To Do</x:v>
      </x:c>
      <x:c r="J149" s="21" t="str">
        <x:v>Review due</x:v>
      </x:c>
      <x:c r="K149" s="2" t="str">
        <x:v>bachhm</x:v>
      </x:c>
      <x:c r="L149" s="4" t="d">
        <x:v>2026-11-27T00:00:00.000Z</x:v>
      </x:c>
      <x:c r="M149" s="21" t="str">
        <x:v>N/A</x:v>
      </x:c>
      <x:c r="N149" s="2" t="str">
        <x:v>trungph</x:v>
      </x:c>
      <x:c r="O149" s="4" t="d">
        <x:v>2026-11-27T00:00:00.000Z</x:v>
      </x:c>
      <x:c r="P149" s="21" t="str">
        <x:v>N/A</x:v>
      </x:c>
      <x:c r="Q149" s="2" t="str">
        <x:v>trungph</x:v>
      </x:c>
      <x:c r="R149" s="4" t="d">
        <x:v>2026-11-27T00:00:00.000Z</x:v>
      </x:c>
      <x:c r="S149" s="17" t="str">
        <x:v>bachhm provides test/document support; trungph retains returns business/code accountability.</x:v>
      </x:c>
      <x:c r="T149" s="2" t="str">
        <x:v>trungph-DOC</x:v>
      </x:c>
      <x:c r="U149" s="2" t="str">
        <x:v>bachhm</x:v>
      </x:c>
      <x:c r="V149" s="4" t="d">
        <x:v>2026-11-09T00:00:00.000Z</x:v>
      </x:c>
      <x:c r="W149" s="4" t="d">
        <x:v>2026-11-13T00:00:00.000Z</x:v>
      </x:c>
      <x:c r="X149" s="22" t="n">
        <x:v>0</x:v>
      </x:c>
      <x:c r="Y149" s="23"/>
      <x:c r="Z149" s="17" t="str">
        <x:v>Defects, customer and supplier returns</x:v>
      </x:c>
      <x:c r="AA149" s="2" t="str">
        <x:v>SUPPORT</x:v>
      </x:c>
      <x:c r="AB149" s="23" t="n">
        <x:v>0</x:v>
      </x:c>
      <x:c r="AC149" s="23" t="n">
        <x:v>0</x:v>
      </x:c>
      <x:c r="AD149" s="23" t="n">
        <x:v>0.75</x:v>
      </x:c>
      <x:c r="AE149" s="23" t="n">
        <x:v>0</x:v>
      </x:c>
      <x:c r="AF149" s="23" t="n">
        <x:v>0</x:v>
      </x:c>
      <x:c r="AG149" s="2" t="str">
        <x:f>IF(AA149="RETIRED","Excluded",IF(AA149="ACTIVE",IF(AND(I149="Complete",J149="Reviewed",M149="Ready",P149="Passed",X149=1),"Accepted","Pending"),IF(AND(I149="Complete",J149="Reviewed"),"Done","Pending")))</x:f>
        <x:v>Pending</x:v>
      </x:c>
      <x:c r="AH149" s="2" t="str">
        <x:f>IF(AA149="RETIRED","Excluded",IF(OR(AG149="Accepted",AG149="Done"),"Done",IF(ISNUMBER(W149),IF(W149&lt;$N$3,"Overdue","Planned"),"Verify baseline")))</x:f>
        <x:v>Planned</x:v>
      </x:c>
    </x:row>
    <x:row r="150" ht="61" customHeight="1">
      <x:c r="A150" s="17" t="str">
        <x:v>trungph-IT-2 · Execute cross-module and exception tests (returns support)</x:v>
      </x:c>
      <x:c r="B150" s="2" t="str">
        <x:v>Delivery support</x:v>
      </x:c>
      <x:c r="C150" s="17" t="str">
        <x:v>trungph · Defects, customer and supplier returns</x:v>
      </x:c>
      <x:c r="D150" s="2" t="str">
        <x:v>Task</x:v>
      </x:c>
      <x:c r="E150" s="17" t="str">
        <x:v>Execute partial/negative/concurrent/retry/rollback scenarios and cross-owner interfaces. Fix and retest; do not fabricate outcomes. bachhm executes this support task; trungph remains accountable for returns requirements and code.</x:v>
      </x:c>
      <x:c r="F150" s="2" t="str">
        <x:v>Medium</x:v>
      </x:c>
      <x:c r="G150" s="13" t="n">
        <x:f>SUM(AB150:AF150)</x:f>
        <x:v>0.75</x:v>
      </x:c>
      <x:c r="H150" s="2" t="str">
        <x:v>Iteration 2</x:v>
      </x:c>
      <x:c r="I150" s="21" t="str">
        <x:v>To Do</x:v>
      </x:c>
      <x:c r="J150" s="21" t="str">
        <x:v>Review due</x:v>
      </x:c>
      <x:c r="K150" s="2" t="str">
        <x:v>bachhm</x:v>
      </x:c>
      <x:c r="L150" s="4" t="d">
        <x:v>2026-11-27T00:00:00.000Z</x:v>
      </x:c>
      <x:c r="M150" s="21" t="str">
        <x:v>N/A</x:v>
      </x:c>
      <x:c r="N150" s="2" t="str">
        <x:v>trungph</x:v>
      </x:c>
      <x:c r="O150" s="4" t="d">
        <x:v>2026-11-27T00:00:00.000Z</x:v>
      </x:c>
      <x:c r="P150" s="21" t="str">
        <x:v>N/A</x:v>
      </x:c>
      <x:c r="Q150" s="2" t="str">
        <x:v>trungph</x:v>
      </x:c>
      <x:c r="R150" s="4" t="d">
        <x:v>2026-11-27T00:00:00.000Z</x:v>
      </x:c>
      <x:c r="S150" s="17" t="str">
        <x:v>bachhm provides test/document support; trungph retains returns business/code accountability.</x:v>
      </x:c>
      <x:c r="T150" s="2" t="str">
        <x:v>trungph-IT-2</x:v>
      </x:c>
      <x:c r="U150" s="2" t="str">
        <x:v>bachhm</x:v>
      </x:c>
      <x:c r="V150" s="4" t="d">
        <x:v>2026-11-16T00:00:00.000Z</x:v>
      </x:c>
      <x:c r="W150" s="4" t="d">
        <x:v>2026-11-20T00:00:00.000Z</x:v>
      </x:c>
      <x:c r="X150" s="22" t="n">
        <x:v>0</x:v>
      </x:c>
      <x:c r="Y150" s="23"/>
      <x:c r="Z150" s="17" t="str">
        <x:v>Defects, customer and supplier returns</x:v>
      </x:c>
      <x:c r="AA150" s="2" t="str">
        <x:v>SUPPORT</x:v>
      </x:c>
      <x:c r="AB150" s="23" t="n">
        <x:v>0</x:v>
      </x:c>
      <x:c r="AC150" s="23" t="n">
        <x:v>0</x:v>
      </x:c>
      <x:c r="AD150" s="23" t="n">
        <x:v>0</x:v>
      </x:c>
      <x:c r="AE150" s="23" t="n">
        <x:v>0.75</x:v>
      </x:c>
      <x:c r="AF150" s="23" t="n">
        <x:v>0</x:v>
      </x:c>
      <x:c r="AG150" s="2" t="str">
        <x:f>IF(AA150="RETIRED","Excluded",IF(AA150="ACTIVE",IF(AND(I150="Complete",J150="Reviewed",M150="Ready",P150="Passed",X150=1),"Accepted","Pending"),IF(AND(I150="Complete",J150="Reviewed"),"Done","Pending")))</x:f>
        <x:v>Pending</x:v>
      </x:c>
      <x:c r="AH150" s="2" t="str">
        <x:f>IF(AA150="RETIRED","Excluded",IF(OR(AG150="Accepted",AG150="Done"),"Done",IF(ISNUMBER(W150),IF(W150&lt;$N$3,"Overdue","Planned"),"Verify baseline")))</x:f>
        <x:v>Planned</x:v>
      </x:c>
    </x:row>
    <x:row r="151" ht="43" customHeight="1">
      <x:c r="A151" s="17" t="str">
        <x:v>trungph-REG · Run final module regression and fix defects</x:v>
      </x:c>
      <x:c r="B151" s="2" t="str">
        <x:v>Delivery support</x:v>
      </x:c>
      <x:c r="C151" s="17" t="str">
        <x:v>trungph · Defects, customer and supplier returns</x:v>
      </x:c>
      <x:c r="D151" s="2" t="str">
        <x:v>Task</x:v>
      </x:c>
      <x:c r="E151" s="17" t="str">
        <x:v>Run UI–API–MongoDB/evidence tests for all owned active UC, foundation regression and key warehouse exceptions. Close critical/high release blockers.</x:v>
      </x:c>
      <x:c r="F151" s="2" t="str">
        <x:v>Medium</x:v>
      </x:c>
      <x:c r="G151" s="13" t="n">
        <x:f>SUM(AB151:AF151)</x:f>
        <x:v>1.5</x:v>
      </x:c>
      <x:c r="H151" s="2" t="str">
        <x:v>Iteration 3</x:v>
      </x:c>
      <x:c r="I151" s="21" t="str">
        <x:v>To Do</x:v>
      </x:c>
      <x:c r="J151" s="21" t="str">
        <x:v>Review due</x:v>
      </x:c>
      <x:c r="K151" s="2" t="str">
        <x:v>trungph</x:v>
      </x:c>
      <x:c r="L151" s="4" t="d">
        <x:v>2026-11-27T00:00:00.000Z</x:v>
      </x:c>
      <x:c r="M151" s="21" t="str">
        <x:v>N/A</x:v>
      </x:c>
      <x:c r="N151" s="2" t="str">
        <x:v>danghh</x:v>
      </x:c>
      <x:c r="O151" s="4" t="d">
        <x:v>2026-11-27T00:00:00.000Z</x:v>
      </x:c>
      <x:c r="P151" s="21" t="str">
        <x:v>N/A</x:v>
      </x:c>
      <x:c r="Q151" s="2" t="str">
        <x:v>danghh</x:v>
      </x:c>
      <x:c r="R151" s="4" t="d">
        <x:v>2026-11-27T00:00:00.000Z</x:v>
      </x:c>
      <x:c r="S151" s="17" t="str">
        <x:v>Record completion and peer-reviewed evidence. No test result is pre-filled as passed.</x:v>
      </x:c>
      <x:c r="T151" s="2" t="str">
        <x:v>trungph-REG</x:v>
      </x:c>
      <x:c r="U151" s="2" t="str">
        <x:v>trungph</x:v>
      </x:c>
      <x:c r="V151" s="4" t="d">
        <x:v>2026-11-23T00:00:00.000Z</x:v>
      </x:c>
      <x:c r="W151" s="4" t="d">
        <x:v>2026-11-27T00:00:00.000Z</x:v>
      </x:c>
      <x:c r="X151" s="22" t="n">
        <x:v>0</x:v>
      </x:c>
      <x:c r="Y151" s="23"/>
      <x:c r="Z151" s="17" t="str">
        <x:v>Defects, customer and supplier returns</x:v>
      </x:c>
      <x:c r="AA151" s="2" t="str">
        <x:v>SUPPORT</x:v>
      </x:c>
      <x:c r="AB151" s="23" t="n">
        <x:v>0</x:v>
      </x:c>
      <x:c r="AC151" s="23" t="n">
        <x:v>0</x:v>
      </x:c>
      <x:c r="AD151" s="23" t="n">
        <x:v>0</x:v>
      </x:c>
      <x:c r="AE151" s="23" t="n">
        <x:v>0</x:v>
      </x:c>
      <x:c r="AF151" s="23" t="n">
        <x:v>1.5</x:v>
      </x:c>
      <x:c r="AG151" s="2" t="str">
        <x:f>IF(AA151="RETIRED","Excluded",IF(AA151="ACTIVE",IF(AND(I151="Complete",J151="Reviewed",M151="Ready",P151="Passed",X151=1),"Accepted","Pending"),IF(AND(I151="Complete",J151="Reviewed"),"Done","Pending")))</x:f>
        <x:v>Pending</x:v>
      </x:c>
      <x:c r="AH151" s="2" t="str">
        <x:f>IF(AA151="RETIRED","Excluded",IF(OR(AG151="Accepted",AG151="Done"),"Done",IF(ISNUMBER(W151),IF(W151&lt;$N$3,"Overdue","Planned"),"Verify baseline")))</x:f>
        <x:v>Planned</x:v>
      </x:c>
    </x:row>
    <x:row r="152" ht="43" customHeight="1">
      <x:c r="A152" s="17" t="str">
        <x:v>trungph-RELEASE · Finalize module documentation and handover</x:v>
      </x:c>
      <x:c r="B152" s="2" t="str">
        <x:v>Delivery support</x:v>
      </x:c>
      <x:c r="C152" s="17" t="str">
        <x:v>trungph · Defects, customer and supplier returns</x:v>
      </x:c>
      <x:c r="D152" s="2" t="str">
        <x:v>Task</x:v>
      </x:c>
      <x:c r="E152" s="17" t="str">
        <x:v>Finalize SRS/SDS/Report 5 evidence and Report 6 module guide; prepare seed/demo data, deployment checks and a named reviewer sign-off.</x:v>
      </x:c>
      <x:c r="F152" s="2" t="str">
        <x:v>Medium</x:v>
      </x:c>
      <x:c r="G152" s="13" t="n">
        <x:f>SUM(AB152:AF152)</x:f>
        <x:v>1</x:v>
      </x:c>
      <x:c r="H152" s="2" t="str">
        <x:v>Iteration 3</x:v>
      </x:c>
      <x:c r="I152" s="21" t="str">
        <x:v>To Do</x:v>
      </x:c>
      <x:c r="J152" s="21" t="str">
        <x:v>Review due</x:v>
      </x:c>
      <x:c r="K152" s="2" t="str">
        <x:v>trungph</x:v>
      </x:c>
      <x:c r="L152" s="4" t="d">
        <x:v>2026-11-27T00:00:00.000Z</x:v>
      </x:c>
      <x:c r="M152" s="21" t="str">
        <x:v>N/A</x:v>
      </x:c>
      <x:c r="N152" s="2" t="str">
        <x:v>danghh</x:v>
      </x:c>
      <x:c r="O152" s="4" t="d">
        <x:v>2026-11-27T00:00:00.000Z</x:v>
      </x:c>
      <x:c r="P152" s="21" t="str">
        <x:v>N/A</x:v>
      </x:c>
      <x:c r="Q152" s="2" t="str">
        <x:v>danghh</x:v>
      </x:c>
      <x:c r="R152" s="4" t="d">
        <x:v>2026-11-27T00:00:00.000Z</x:v>
      </x:c>
      <x:c r="S152" s="17" t="str">
        <x:v>Record completion and peer-reviewed evidence. No test result is pre-filled as passed.</x:v>
      </x:c>
      <x:c r="T152" s="2" t="str">
        <x:v>trungph-RELEASE</x:v>
      </x:c>
      <x:c r="U152" s="2" t="str">
        <x:v>trungph</x:v>
      </x:c>
      <x:c r="V152" s="4" t="d">
        <x:v>2026-11-23T00:00:00.000Z</x:v>
      </x:c>
      <x:c r="W152" s="4" t="d">
        <x:v>2026-11-27T00:00:00.000Z</x:v>
      </x:c>
      <x:c r="X152" s="22" t="n">
        <x:v>0</x:v>
      </x:c>
      <x:c r="Y152" s="23"/>
      <x:c r="Z152" s="17" t="str">
        <x:v>trungph-REG</x:v>
      </x:c>
      <x:c r="AA152" s="2" t="str">
        <x:v>SUPPORT</x:v>
      </x:c>
      <x:c r="AB152" s="23" t="n">
        <x:v>0</x:v>
      </x:c>
      <x:c r="AC152" s="23" t="n">
        <x:v>0</x:v>
      </x:c>
      <x:c r="AD152" s="23" t="n">
        <x:v>0</x:v>
      </x:c>
      <x:c r="AE152" s="23" t="n">
        <x:v>0</x:v>
      </x:c>
      <x:c r="AF152" s="23" t="n">
        <x:v>1</x:v>
      </x:c>
      <x:c r="AG152" s="2" t="str">
        <x:f>IF(AA152="RETIRED","Excluded",IF(AA152="ACTIVE",IF(AND(I152="Complete",J152="Reviewed",M152="Ready",P152="Passed",X152=1),"Accepted","Pending"),IF(AND(I152="Complete",J152="Reviewed"),"Done","Pending")))</x:f>
        <x:v>Pending</x:v>
      </x:c>
      <x:c r="AH152" s="2" t="str">
        <x:f>IF(AA152="RETIRED","Excluded",IF(OR(AG152="Accepted",AG152="Done"),"Done",IF(ISNUMBER(W152),IF(W152&lt;$N$3,"Overdue","Planned"),"Verify baseline")))</x:f>
        <x:v>Planned</x:v>
      </x:c>
    </x:row>
    <x:row r="153" ht="48" customHeight="1">
      <x:c r="A153" s="17" t="str">
        <x:v>bachhm-CONTRACT · Confirm module API/data and shared contracts</x:v>
      </x:c>
      <x:c r="B153" s="2" t="str">
        <x:v>Delivery support</x:v>
      </x:c>
      <x:c r="C153" s="17" t="str">
        <x:v>bachhm · Stocktake, adjustment and operational reports</x:v>
      </x:c>
      <x:c r="D153" s="2" t="str">
        <x:v>Task</x:v>
      </x:c>
      <x:c r="E153" s="17" t="str">
        <x:v>Freeze source IDs, versions, UOM, stock posting, reservations, freeze checks, evidence links and role/warehouse scope. Publish module interfaces and seed data.</x:v>
      </x:c>
      <x:c r="F153" s="2" t="str">
        <x:v>Medium</x:v>
      </x:c>
      <x:c r="G153" s="13" t="n">
        <x:f>SUM(AB153:AF153)</x:f>
        <x:v>0.5</x:v>
      </x:c>
      <x:c r="H153" s="2" t="str">
        <x:v>Iteration 1</x:v>
      </x:c>
      <x:c r="I153" s="21" t="str">
        <x:v>To Do</x:v>
      </x:c>
      <x:c r="J153" s="21" t="str">
        <x:v>Review due</x:v>
      </x:c>
      <x:c r="K153" s="2" t="str">
        <x:v>bachhm</x:v>
      </x:c>
      <x:c r="L153" s="4" t="d">
        <x:v>2026-11-27T00:00:00.000Z</x:v>
      </x:c>
      <x:c r="M153" s="21" t="str">
        <x:v>N/A</x:v>
      </x:c>
      <x:c r="N153" s="2" t="str">
        <x:v>trungph</x:v>
      </x:c>
      <x:c r="O153" s="4" t="d">
        <x:v>2026-11-27T00:00:00.000Z</x:v>
      </x:c>
      <x:c r="P153" s="21" t="str">
        <x:v>N/A</x:v>
      </x:c>
      <x:c r="Q153" s="2" t="str">
        <x:v>trungph</x:v>
      </x:c>
      <x:c r="R153" s="4" t="d">
        <x:v>2026-11-27T00:00:00.000Z</x:v>
      </x:c>
      <x:c r="S153" s="17" t="str">
        <x:v>Record completion and peer-reviewed evidence. No test result is pre-filled as passed.</x:v>
      </x:c>
      <x:c r="T153" s="2" t="str">
        <x:v>bachhm-CONTRACT</x:v>
      </x:c>
      <x:c r="U153" s="2" t="str">
        <x:v>bachhm</x:v>
      </x:c>
      <x:c r="V153" s="4" t="d">
        <x:v>2026-10-26T00:00:00.000Z</x:v>
      </x:c>
      <x:c r="W153" s="4" t="d">
        <x:v>2026-10-30T00:00:00.000Z</x:v>
      </x:c>
      <x:c r="X153" s="22" t="n">
        <x:v>0</x:v>
      </x:c>
      <x:c r="Y153" s="23"/>
      <x:c r="Z153" s="17" t="str">
        <x:v>CORE-01</x:v>
      </x:c>
      <x:c r="AA153" s="2" t="str">
        <x:v>SUPPORT</x:v>
      </x:c>
      <x:c r="AB153" s="23" t="n">
        <x:v>0.5</x:v>
      </x:c>
      <x:c r="AC153" s="23" t="n">
        <x:v>0</x:v>
      </x:c>
      <x:c r="AD153" s="23" t="n">
        <x:v>0</x:v>
      </x:c>
      <x:c r="AE153" s="23" t="n">
        <x:v>0</x:v>
      </x:c>
      <x:c r="AF153" s="23" t="n">
        <x:v>0</x:v>
      </x:c>
      <x:c r="AG153" s="2" t="str">
        <x:f>IF(AA153="RETIRED","Excluded",IF(AA153="ACTIVE",IF(AND(I153="Complete",J153="Reviewed",M153="Ready",P153="Passed",X153=1),"Accepted","Pending"),IF(AND(I153="Complete",J153="Reviewed"),"Done","Pending")))</x:f>
        <x:v>Pending</x:v>
      </x:c>
      <x:c r="AH153" s="2" t="str">
        <x:f>IF(AA153="RETIRED","Excluded",IF(OR(AG153="Accepted",AG153="Done"),"Done",IF(ISNUMBER(W153),IF(W153&lt;$N$3,"Overdue","Planned"),"Verify baseline")))</x:f>
        <x:v>Planned</x:v>
      </x:c>
    </x:row>
    <x:row r="154" ht="48" customHeight="1">
      <x:c r="A154" s="17" t="str">
        <x:v>bachhm-IT-1 · Execute first vertical integration tests</x:v>
      </x:c>
      <x:c r="B154" s="2" t="str">
        <x:v>Delivery support</x:v>
      </x:c>
      <x:c r="C154" s="17" t="str">
        <x:v>bachhm · Stocktake, adjustment and operational reports</x:v>
      </x:c>
      <x:c r="D154" s="2" t="str">
        <x:v>Task</x:v>
      </x:c>
      <x:c r="E154" s="17" t="str">
        <x:v>Peer-test the first operational slice; record actual results and defects, including wrong-role and duplicate-submit cases.</x:v>
      </x:c>
      <x:c r="F154" s="2" t="str">
        <x:v>Medium</x:v>
      </x:c>
      <x:c r="G154" s="13" t="n">
        <x:f>SUM(AB154:AF154)</x:f>
        <x:v>0.5</x:v>
      </x:c>
      <x:c r="H154" s="2" t="str">
        <x:v>Iteration 1</x:v>
      </x:c>
      <x:c r="I154" s="21" t="str">
        <x:v>To Do</x:v>
      </x:c>
      <x:c r="J154" s="21" t="str">
        <x:v>Review due</x:v>
      </x:c>
      <x:c r="K154" s="2" t="str">
        <x:v>bachhm</x:v>
      </x:c>
      <x:c r="L154" s="4" t="d">
        <x:v>2026-11-27T00:00:00.000Z</x:v>
      </x:c>
      <x:c r="M154" s="21" t="str">
        <x:v>N/A</x:v>
      </x:c>
      <x:c r="N154" s="2" t="str">
        <x:v>trungph</x:v>
      </x:c>
      <x:c r="O154" s="4" t="d">
        <x:v>2026-11-27T00:00:00.000Z</x:v>
      </x:c>
      <x:c r="P154" s="21" t="str">
        <x:v>N/A</x:v>
      </x:c>
      <x:c r="Q154" s="2" t="str">
        <x:v>trungph</x:v>
      </x:c>
      <x:c r="R154" s="4" t="d">
        <x:v>2026-11-27T00:00:00.000Z</x:v>
      </x:c>
      <x:c r="S154" s="17" t="str">
        <x:v>Record completion and peer-reviewed evidence. No test result is pre-filled as passed.</x:v>
      </x:c>
      <x:c r="T154" s="2" t="str">
        <x:v>bachhm-IT-1</x:v>
      </x:c>
      <x:c r="U154" s="2" t="str">
        <x:v>bachhm</x:v>
      </x:c>
      <x:c r="V154" s="4" t="d">
        <x:v>2026-11-02T00:00:00.000Z</x:v>
      </x:c>
      <x:c r="W154" s="4" t="d">
        <x:v>2026-11-06T00:00:00.000Z</x:v>
      </x:c>
      <x:c r="X154" s="22" t="n">
        <x:v>0</x:v>
      </x:c>
      <x:c r="Y154" s="23"/>
      <x:c r="Z154" s="17" t="str">
        <x:v>Stocktake, adjustment and operational reports</x:v>
      </x:c>
      <x:c r="AA154" s="2" t="str">
        <x:v>SUPPORT</x:v>
      </x:c>
      <x:c r="AB154" s="23" t="n">
        <x:v>0</x:v>
      </x:c>
      <x:c r="AC154" s="23" t="n">
        <x:v>0.5</x:v>
      </x:c>
      <x:c r="AD154" s="23" t="n">
        <x:v>0</x:v>
      </x:c>
      <x:c r="AE154" s="23" t="n">
        <x:v>0</x:v>
      </x:c>
      <x:c r="AF154" s="23" t="n">
        <x:v>0</x:v>
      </x:c>
      <x:c r="AG154" s="2" t="str">
        <x:f>IF(AA154="RETIRED","Excluded",IF(AA154="ACTIVE",IF(AND(I154="Complete",J154="Reviewed",M154="Ready",P154="Passed",X154=1),"Accepted","Pending"),IF(AND(I154="Complete",J154="Reviewed"),"Done","Pending")))</x:f>
        <x:v>Pending</x:v>
      </x:c>
      <x:c r="AH154" s="2" t="str">
        <x:f>IF(AA154="RETIRED","Excluded",IF(OR(AG154="Accepted",AG154="Done"),"Done",IF(ISNUMBER(W154),IF(W154&lt;$N$3,"Overdue","Planned"),"Verify baseline")))</x:f>
        <x:v>Planned</x:v>
      </x:c>
    </x:row>
    <x:row r="155" ht="48" customHeight="1">
      <x:c r="A155" s="17" t="str">
        <x:v>bachhm-DOC · Synchronize module SRS, SDS and test documentation</x:v>
      </x:c>
      <x:c r="B155" s="2" t="str">
        <x:v>Delivery support</x:v>
      </x:c>
      <x:c r="C155" s="17" t="str">
        <x:v>bachhm · Stocktake, adjustment and operational reports</x:v>
      </x:c>
      <x:c r="D155" s="2" t="str">
        <x:v>Task</x:v>
      </x:c>
      <x:c r="E155" s="17" t="str">
        <x:v>Update assigned use cases, API/data/state designs and test cases against implementation; keep baseline 3.1.0 business rules.</x:v>
      </x:c>
      <x:c r="F155" s="2" t="str">
        <x:v>Medium</x:v>
      </x:c>
      <x:c r="G155" s="13" t="n">
        <x:f>SUM(AB155:AF155)</x:f>
        <x:v>0.75</x:v>
      </x:c>
      <x:c r="H155" s="2" t="str">
        <x:v>Iteration 2</x:v>
      </x:c>
      <x:c r="I155" s="21" t="str">
        <x:v>To Do</x:v>
      </x:c>
      <x:c r="J155" s="21" t="str">
        <x:v>Review due</x:v>
      </x:c>
      <x:c r="K155" s="2" t="str">
        <x:v>bachhm</x:v>
      </x:c>
      <x:c r="L155" s="4" t="d">
        <x:v>2026-11-27T00:00:00.000Z</x:v>
      </x:c>
      <x:c r="M155" s="21" t="str">
        <x:v>N/A</x:v>
      </x:c>
      <x:c r="N155" s="2" t="str">
        <x:v>trungph</x:v>
      </x:c>
      <x:c r="O155" s="4" t="d">
        <x:v>2026-11-27T00:00:00.000Z</x:v>
      </x:c>
      <x:c r="P155" s="21" t="str">
        <x:v>N/A</x:v>
      </x:c>
      <x:c r="Q155" s="2" t="str">
        <x:v>trungph</x:v>
      </x:c>
      <x:c r="R155" s="4" t="d">
        <x:v>2026-11-27T00:00:00.000Z</x:v>
      </x:c>
      <x:c r="S155" s="17" t="str">
        <x:v>Record completion and peer-reviewed evidence. No test result is pre-filled as passed.</x:v>
      </x:c>
      <x:c r="T155" s="2" t="str">
        <x:v>bachhm-DOC</x:v>
      </x:c>
      <x:c r="U155" s="2" t="str">
        <x:v>bachhm</x:v>
      </x:c>
      <x:c r="V155" s="4" t="d">
        <x:v>2026-11-09T00:00:00.000Z</x:v>
      </x:c>
      <x:c r="W155" s="4" t="d">
        <x:v>2026-11-13T00:00:00.000Z</x:v>
      </x:c>
      <x:c r="X155" s="22" t="n">
        <x:v>0</x:v>
      </x:c>
      <x:c r="Y155" s="23"/>
      <x:c r="Z155" s="17" t="str">
        <x:v>Stocktake, adjustment and operational reports</x:v>
      </x:c>
      <x:c r="AA155" s="2" t="str">
        <x:v>SUPPORT</x:v>
      </x:c>
      <x:c r="AB155" s="23" t="n">
        <x:v>0</x:v>
      </x:c>
      <x:c r="AC155" s="23" t="n">
        <x:v>0</x:v>
      </x:c>
      <x:c r="AD155" s="23" t="n">
        <x:v>0.75</x:v>
      </x:c>
      <x:c r="AE155" s="23" t="n">
        <x:v>0</x:v>
      </x:c>
      <x:c r="AF155" s="23" t="n">
        <x:v>0</x:v>
      </x:c>
      <x:c r="AG155" s="2" t="str">
        <x:f>IF(AA155="RETIRED","Excluded",IF(AA155="ACTIVE",IF(AND(I155="Complete",J155="Reviewed",M155="Ready",P155="Passed",X155=1),"Accepted","Pending"),IF(AND(I155="Complete",J155="Reviewed"),"Done","Pending")))</x:f>
        <x:v>Pending</x:v>
      </x:c>
      <x:c r="AH155" s="2" t="str">
        <x:f>IF(AA155="RETIRED","Excluded",IF(OR(AG155="Accepted",AG155="Done"),"Done",IF(ISNUMBER(W155),IF(W155&lt;$N$3,"Overdue","Planned"),"Verify baseline")))</x:f>
        <x:v>Planned</x:v>
      </x:c>
    </x:row>
    <x:row r="156" ht="48" customHeight="1">
      <x:c r="A156" s="17" t="str">
        <x:v>bachhm-IT-2 · Execute cross-module and exception tests</x:v>
      </x:c>
      <x:c r="B156" s="2" t="str">
        <x:v>Delivery support</x:v>
      </x:c>
      <x:c r="C156" s="17" t="str">
        <x:v>bachhm · Stocktake, adjustment and operational reports</x:v>
      </x:c>
      <x:c r="D156" s="2" t="str">
        <x:v>Task</x:v>
      </x:c>
      <x:c r="E156" s="17" t="str">
        <x:v>Execute partial/negative/concurrent/retry/rollback scenarios and cross-owner interfaces. Fix and retest; do not fabricate outcomes.</x:v>
      </x:c>
      <x:c r="F156" s="2" t="str">
        <x:v>Medium</x:v>
      </x:c>
      <x:c r="G156" s="13" t="n">
        <x:f>SUM(AB156:AF156)</x:f>
        <x:v>0.75</x:v>
      </x:c>
      <x:c r="H156" s="2" t="str">
        <x:v>Iteration 2</x:v>
      </x:c>
      <x:c r="I156" s="21" t="str">
        <x:v>To Do</x:v>
      </x:c>
      <x:c r="J156" s="21" t="str">
        <x:v>Review due</x:v>
      </x:c>
      <x:c r="K156" s="2" t="str">
        <x:v>bachhm</x:v>
      </x:c>
      <x:c r="L156" s="4" t="d">
        <x:v>2026-11-27T00:00:00.000Z</x:v>
      </x:c>
      <x:c r="M156" s="21" t="str">
        <x:v>N/A</x:v>
      </x:c>
      <x:c r="N156" s="2" t="str">
        <x:v>trungph</x:v>
      </x:c>
      <x:c r="O156" s="4" t="d">
        <x:v>2026-11-27T00:00:00.000Z</x:v>
      </x:c>
      <x:c r="P156" s="21" t="str">
        <x:v>N/A</x:v>
      </x:c>
      <x:c r="Q156" s="2" t="str">
        <x:v>trungph</x:v>
      </x:c>
      <x:c r="R156" s="4" t="d">
        <x:v>2026-11-27T00:00:00.000Z</x:v>
      </x:c>
      <x:c r="S156" s="17" t="str">
        <x:v>Record completion and peer-reviewed evidence. No test result is pre-filled as passed.</x:v>
      </x:c>
      <x:c r="T156" s="2" t="str">
        <x:v>bachhm-IT-2</x:v>
      </x:c>
      <x:c r="U156" s="2" t="str">
        <x:v>bachhm</x:v>
      </x:c>
      <x:c r="V156" s="4" t="d">
        <x:v>2026-11-16T00:00:00.000Z</x:v>
      </x:c>
      <x:c r="W156" s="4" t="d">
        <x:v>2026-11-20T00:00:00.000Z</x:v>
      </x:c>
      <x:c r="X156" s="22" t="n">
        <x:v>0</x:v>
      </x:c>
      <x:c r="Y156" s="23"/>
      <x:c r="Z156" s="17" t="str">
        <x:v>Stocktake, adjustment and operational reports</x:v>
      </x:c>
      <x:c r="AA156" s="2" t="str">
        <x:v>SUPPORT</x:v>
      </x:c>
      <x:c r="AB156" s="23" t="n">
        <x:v>0</x:v>
      </x:c>
      <x:c r="AC156" s="23" t="n">
        <x:v>0</x:v>
      </x:c>
      <x:c r="AD156" s="23" t="n">
        <x:v>0</x:v>
      </x:c>
      <x:c r="AE156" s="23" t="n">
        <x:v>0.75</x:v>
      </x:c>
      <x:c r="AF156" s="23" t="n">
        <x:v>0</x:v>
      </x:c>
      <x:c r="AG156" s="2" t="str">
        <x:f>IF(AA156="RETIRED","Excluded",IF(AA156="ACTIVE",IF(AND(I156="Complete",J156="Reviewed",M156="Ready",P156="Passed",X156=1),"Accepted","Pending"),IF(AND(I156="Complete",J156="Reviewed"),"Done","Pending")))</x:f>
        <x:v>Pending</x:v>
      </x:c>
      <x:c r="AH156" s="2" t="str">
        <x:f>IF(AA156="RETIRED","Excluded",IF(OR(AG156="Accepted",AG156="Done"),"Done",IF(ISNUMBER(W156),IF(W156&lt;$N$3,"Overdue","Planned"),"Verify baseline")))</x:f>
        <x:v>Planned</x:v>
      </x:c>
    </x:row>
    <x:row r="157" ht="48" customHeight="1">
      <x:c r="A157" s="17" t="str">
        <x:v>bachhm-REG · Run final module regression and fix defects</x:v>
      </x:c>
      <x:c r="B157" s="2" t="str">
        <x:v>Delivery support</x:v>
      </x:c>
      <x:c r="C157" s="17" t="str">
        <x:v>bachhm · Stocktake, adjustment and operational reports</x:v>
      </x:c>
      <x:c r="D157" s="2" t="str">
        <x:v>Task</x:v>
      </x:c>
      <x:c r="E157" s="17" t="str">
        <x:v>Run UI–API–MongoDB/evidence tests for all owned active UC, foundation regression and key warehouse exceptions. Close critical/high release blockers.</x:v>
      </x:c>
      <x:c r="F157" s="2" t="str">
        <x:v>Medium</x:v>
      </x:c>
      <x:c r="G157" s="13" t="n">
        <x:f>SUM(AB157:AF157)</x:f>
        <x:v>1.5</x:v>
      </x:c>
      <x:c r="H157" s="2" t="str">
        <x:v>Iteration 3</x:v>
      </x:c>
      <x:c r="I157" s="21" t="str">
        <x:v>To Do</x:v>
      </x:c>
      <x:c r="J157" s="21" t="str">
        <x:v>Review due</x:v>
      </x:c>
      <x:c r="K157" s="2" t="str">
        <x:v>bachhm</x:v>
      </x:c>
      <x:c r="L157" s="4" t="d">
        <x:v>2026-11-27T00:00:00.000Z</x:v>
      </x:c>
      <x:c r="M157" s="21" t="str">
        <x:v>N/A</x:v>
      </x:c>
      <x:c r="N157" s="2" t="str">
        <x:v>trungph</x:v>
      </x:c>
      <x:c r="O157" s="4" t="d">
        <x:v>2026-11-27T00:00:00.000Z</x:v>
      </x:c>
      <x:c r="P157" s="21" t="str">
        <x:v>N/A</x:v>
      </x:c>
      <x:c r="Q157" s="2" t="str">
        <x:v>trungph</x:v>
      </x:c>
      <x:c r="R157" s="4" t="d">
        <x:v>2026-11-27T00:00:00.000Z</x:v>
      </x:c>
      <x:c r="S157" s="17" t="str">
        <x:v>Record completion and peer-reviewed evidence. No test result is pre-filled as passed.</x:v>
      </x:c>
      <x:c r="T157" s="2" t="str">
        <x:v>bachhm-REG</x:v>
      </x:c>
      <x:c r="U157" s="2" t="str">
        <x:v>bachhm</x:v>
      </x:c>
      <x:c r="V157" s="4" t="d">
        <x:v>2026-11-23T00:00:00.000Z</x:v>
      </x:c>
      <x:c r="W157" s="4" t="d">
        <x:v>2026-11-27T00:00:00.000Z</x:v>
      </x:c>
      <x:c r="X157" s="22" t="n">
        <x:v>0</x:v>
      </x:c>
      <x:c r="Y157" s="23"/>
      <x:c r="Z157" s="17" t="str">
        <x:v>Stocktake, adjustment and operational reports</x:v>
      </x:c>
      <x:c r="AA157" s="2" t="str">
        <x:v>SUPPORT</x:v>
      </x:c>
      <x:c r="AB157" s="23" t="n">
        <x:v>0</x:v>
      </x:c>
      <x:c r="AC157" s="23" t="n">
        <x:v>0</x:v>
      </x:c>
      <x:c r="AD157" s="23" t="n">
        <x:v>0</x:v>
      </x:c>
      <x:c r="AE157" s="23" t="n">
        <x:v>0</x:v>
      </x:c>
      <x:c r="AF157" s="23" t="n">
        <x:v>1.5</x:v>
      </x:c>
      <x:c r="AG157" s="2" t="str">
        <x:f>IF(AA157="RETIRED","Excluded",IF(AA157="ACTIVE",IF(AND(I157="Complete",J157="Reviewed",M157="Ready",P157="Passed",X157=1),"Accepted","Pending"),IF(AND(I157="Complete",J157="Reviewed"),"Done","Pending")))</x:f>
        <x:v>Pending</x:v>
      </x:c>
      <x:c r="AH157" s="2" t="str">
        <x:f>IF(AA157="RETIRED","Excluded",IF(OR(AG157="Accepted",AG157="Done"),"Done",IF(ISNUMBER(W157),IF(W157&lt;$N$3,"Overdue","Planned"),"Verify baseline")))</x:f>
        <x:v>Planned</x:v>
      </x:c>
    </x:row>
    <x:row r="158" ht="48" customHeight="1">
      <x:c r="A158" s="17" t="str">
        <x:v>bachhm-RELEASE · Finalize module documentation and handover</x:v>
      </x:c>
      <x:c r="B158" s="2" t="str">
        <x:v>Delivery support</x:v>
      </x:c>
      <x:c r="C158" s="17" t="str">
        <x:v>bachhm · Stocktake, adjustment and operational reports</x:v>
      </x:c>
      <x:c r="D158" s="2" t="str">
        <x:v>Task</x:v>
      </x:c>
      <x:c r="E158" s="17" t="str">
        <x:v>Finalize SRS/SDS/Report 5 evidence and Report 6 module guide; prepare seed/demo data, deployment checks and a named reviewer sign-off.</x:v>
      </x:c>
      <x:c r="F158" s="2" t="str">
        <x:v>Medium</x:v>
      </x:c>
      <x:c r="G158" s="13" t="n">
        <x:f>SUM(AB158:AF158)</x:f>
        <x:v>1</x:v>
      </x:c>
      <x:c r="H158" s="2" t="str">
        <x:v>Iteration 3</x:v>
      </x:c>
      <x:c r="I158" s="21" t="str">
        <x:v>To Do</x:v>
      </x:c>
      <x:c r="J158" s="21" t="str">
        <x:v>Review due</x:v>
      </x:c>
      <x:c r="K158" s="2" t="str">
        <x:v>bachhm</x:v>
      </x:c>
      <x:c r="L158" s="4" t="d">
        <x:v>2026-11-27T00:00:00.000Z</x:v>
      </x:c>
      <x:c r="M158" s="21" t="str">
        <x:v>N/A</x:v>
      </x:c>
      <x:c r="N158" s="2" t="str">
        <x:v>trungph</x:v>
      </x:c>
      <x:c r="O158" s="4" t="d">
        <x:v>2026-11-27T00:00:00.000Z</x:v>
      </x:c>
      <x:c r="P158" s="21" t="str">
        <x:v>N/A</x:v>
      </x:c>
      <x:c r="Q158" s="2" t="str">
        <x:v>trungph</x:v>
      </x:c>
      <x:c r="R158" s="4" t="d">
        <x:v>2026-11-27T00:00:00.000Z</x:v>
      </x:c>
      <x:c r="S158" s="17" t="str">
        <x:v>Record completion and peer-reviewed evidence. No test result is pre-filled as passed.</x:v>
      </x:c>
      <x:c r="T158" s="2" t="str">
        <x:v>bachhm-RELEASE</x:v>
      </x:c>
      <x:c r="U158" s="2" t="str">
        <x:v>bachhm</x:v>
      </x:c>
      <x:c r="V158" s="4" t="d">
        <x:v>2026-11-23T00:00:00.000Z</x:v>
      </x:c>
      <x:c r="W158" s="4" t="d">
        <x:v>2026-11-27T00:00:00.000Z</x:v>
      </x:c>
      <x:c r="X158" s="22" t="n">
        <x:v>0</x:v>
      </x:c>
      <x:c r="Y158" s="23"/>
      <x:c r="Z158" s="17" t="str">
        <x:v>bachhm-REG</x:v>
      </x:c>
      <x:c r="AA158" s="2" t="str">
        <x:v>SUPPORT</x:v>
      </x:c>
      <x:c r="AB158" s="23" t="n">
        <x:v>0</x:v>
      </x:c>
      <x:c r="AC158" s="23" t="n">
        <x:v>0</x:v>
      </x:c>
      <x:c r="AD158" s="23" t="n">
        <x:v>0</x:v>
      </x:c>
      <x:c r="AE158" s="23" t="n">
        <x:v>0</x:v>
      </x:c>
      <x:c r="AF158" s="23" t="n">
        <x:v>1</x:v>
      </x:c>
      <x:c r="AG158" s="2" t="str">
        <x:f>IF(AA158="RETIRED","Excluded",IF(AA158="ACTIVE",IF(AND(I158="Complete",J158="Reviewed",M158="Ready",P158="Passed",X158=1),"Accepted","Pending"),IF(AND(I158="Complete",J158="Reviewed"),"Done","Pending")))</x:f>
        <x:v>Pending</x:v>
      </x:c>
      <x:c r="AH158" s="2" t="str">
        <x:f>IF(AA158="RETIRED","Excluded",IF(OR(AG158="Accepted",AG158="Done"),"Done",IF(ISNUMBER(W158),IF(W158&lt;$N$3,"Overdue","Planned"),"Verify baseline")))</x:f>
        <x:v>Planned</x:v>
      </x:c>
    </x:row>
  </x:sheetData>
  <x:conditionalFormatting sqref="G7:G11">
    <x:cfRule type="cellIs" dxfId="0" priority="1" operator="lessThan">
      <x:formula>0</x:formula>
    </x:cfRule>
  </x:conditionalFormatting>
  <x:conditionalFormatting sqref="L7:P11">
    <x:cfRule type="expression" dxfId="1" priority="2">
      <x:formula>L7&gt;$Q7</x:formula>
    </x:cfRule>
  </x:conditionalFormatting>
  <x:conditionalFormatting sqref="A17:AH158">
    <x:cfRule type="expression" dxfId="2" priority="3">
      <x:formula>$AA17="RETIRED"</x:formula>
    </x:cfRule>
  </x:conditionalFormatting>
  <x:conditionalFormatting sqref="AG17:AG158">
    <x:cfRule type="containsText" dxfId="3" priority="4" operator="containsText" text="Accepted"/>
  </x:conditionalFormatting>
  <x:conditionalFormatting sqref="AH17:AH158">
    <x:cfRule type="containsText" dxfId="4" priority="5" operator="containsText" text="Overdue"/>
  </x:conditionalFormatting>
  <x:dataValidations count="16">
    <x:dataValidation type="list" sqref="I17:I158">
      <x:formula1>"To Do,In Progress,Blocked,Reported complete,Complete,Retired"</x:formula1>
    </x:dataValidation>
    <x:dataValidation type="list" sqref="J17:J158">
      <x:formula1>"Review due,In Progress,Reviewed,Retired"</x:formula1>
    </x:dataValidation>
    <x:dataValidation type="list" sqref="M17:M158">
      <x:formula1>"To Do,In Progress,Ready,N/A"</x:formula1>
    </x:dataValidation>
    <x:dataValidation type="list" sqref="P17:P158">
      <x:formula1>"Not Run,Running,Passed,Failed,Blocked,N/A"</x:formula1>
    </x:dataValidation>
    <x:dataValidation type="list" sqref="K17:K158">
      <x:formula1>"minhtd,hieudt,danghh,trungph,bachhm"</x:formula1>
    </x:dataValidation>
    <x:dataValidation type="list" sqref="N17:N158">
      <x:formula1>"minhtd,hieudt,danghh,trungph,bachhm"</x:formula1>
    </x:dataValidation>
    <x:dataValidation type="list" sqref="Q17:Q158">
      <x:formula1>"minhtd,hieudt,danghh,trungph,bachhm"</x:formula1>
    </x:dataValidation>
    <x:dataValidation type="list" sqref="U17:U158">
      <x:formula1>"minhtd,hieudt,danghh,trungph,bachhm"</x:formula1>
    </x:dataValidation>
    <x:dataValidation type="decimal" operator="between" sqref="X17:X158">
      <x:formula1>0</x:formula1>
      <x:formula2>1</x:formula2>
    </x:dataValidation>
    <x:dataValidation type="decimal" operator="greaterThanOrEqual" sqref="G17:G158">
      <x:formula1>0</x:formula1>
    </x:dataValidation>
    <x:dataValidation type="decimal" operator="greaterThanOrEqual" sqref="Y17:Y158">
      <x:formula1>0</x:formula1>
    </x:dataValidation>
    <x:dataValidation type="decimal" operator="greaterThanOrEqual" sqref="AB17:AB158">
      <x:formula1>0</x:formula1>
    </x:dataValidation>
    <x:dataValidation type="decimal" operator="greaterThanOrEqual" sqref="AC17:AC158">
      <x:formula1>0</x:formula1>
    </x:dataValidation>
    <x:dataValidation type="decimal" operator="greaterThanOrEqual" sqref="AD17:AD158">
      <x:formula1>0</x:formula1>
    </x:dataValidation>
    <x:dataValidation type="decimal" operator="greaterThanOrEqual" sqref="AE17:AE158">
      <x:formula1>0</x:formula1>
    </x:dataValidation>
    <x:dataValidation type="decimal" operator="greaterThanOrEqual" sqref="AF17:AF158">
      <x:formula1>0</x:formula1>
    </x:dataValidation>
  </x:dataValidations>
  <x:pageMargins left="0.7" right="0.7" top="0.75" bottom="0.75" header="0.3" footer="0.3"/>
  <x:tableParts count="1">
    <x:tablePart xmlns:r="http://schemas.openxmlformats.org/officeDocument/2006/relationships" r:id="Reb869e6cd47642b2"/>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48" hidden="0" customWidth="1"/>
    <x:col min="3" max="3" width="17" hidden="0" customWidth="1"/>
    <x:col min="4" max="4" width="17" hidden="0" customWidth="1"/>
    <x:col min="5" max="5" width="17" hidden="0" customWidth="1"/>
    <x:col min="6" max="6" width="17" hidden="0" customWidth="1"/>
    <x:col min="7" max="7" width="100" hidden="0" customWidth="1"/>
  </x:cols>
  <x:sheetData>
    <x:row r="1" ht="34" customHeight="1">
      <x:c r="A1" s="11" t="str">
        <x:v>Date</x:v>
      </x:c>
      <x:c r="B1" s="11" t="str">
        <x:v>Question</x:v>
      </x:c>
      <x:c r="C1" s="11" t="str">
        <x:v>By</x:v>
      </x:c>
      <x:c r="D1" s="11" t="str">
        <x:v>Priority</x:v>
      </x:c>
      <x:c r="E1" s="11" t="str">
        <x:v>Due Date</x:v>
      </x:c>
      <x:c r="F1" s="11" t="str">
        <x:v>Status</x:v>
      </x:c>
      <x:c r="G1" s="11" t="str">
        <x:v>Note (answer, other notes)</x:v>
      </x:c>
    </x:row>
    <x:row r="2" ht="98" customHeight="1">
      <x:c r="A2" s="24" t="d">
        <x:v>2026-10-26T00:00:00.000Z</x:v>
      </x:c>
      <x:c r="B2" s="17" t="str">
        <x:v>What is the delivery window?</x:v>
      </x:c>
      <x:c r="C2" s="17" t="str">
        <x:v>Team</x:v>
      </x:c>
      <x:c r="D2" s="17" t="str">
        <x:v>High</x:v>
      </x:c>
      <x:c r="E2" s="24" t="d">
        <x:v>2026-10-26T00:00:00.000Z</x:v>
      </x:c>
      <x:c r="F2" s="17" t="str">
        <x:v>Resolved</x:v>
      </x:c>
      <x:c r="G2" s="17" t="str">
        <x:v>Five weeks: 26/10–29/11/2026, project weeks 8–12. Week 13 is 30/11–06/12; rehearsal review date not confirmed. No week-13 capacity is assumed.</x:v>
      </x:c>
    </x:row>
    <x:row r="3" ht="98" customHeight="1">
      <x:c r="A3" s="24" t="d">
        <x:v>2026-10-26T00:00:00.000Z</x:v>
      </x:c>
      <x:c r="B3" s="17" t="str">
        <x:v>What capacity is available?</x:v>
      </x:c>
      <x:c r="C3" s="17" t="str">
        <x:v>Team</x:v>
      </x:c>
      <x:c r="D3" s="17" t="str">
        <x:v>High</x:v>
      </x:c>
      <x:c r="E3" s="24" t="d">
        <x:v>2026-10-26T00:00:00.000Z</x:v>
      </x:c>
      <x:c r="F3" s="17" t="str">
        <x:v>Resolved</x:v>
      </x:c>
      <x:c r="G3" s="17" t="str">
        <x:v>Five members; 40 h/person/week; Monday–Friday; 20% reserve confirmed. 125 gross pd; 100 effective pd; 92.25 planned pd.</x:v>
      </x:c>
    </x:row>
    <x:row r="4" ht="98" customHeight="1">
      <x:c r="A4" s="24" t="d">
        <x:v>2026-10-26T00:00:00.000Z</x:v>
      </x:c>
      <x:c r="B4" s="17" t="str">
        <x:v>What is already implemented?</x:v>
      </x:c>
      <x:c r="C4" s="17" t="str">
        <x:v>Team</x:v>
      </x:c>
      <x:c r="D4" s="17" t="str">
        <x:v>High</x:v>
      </x:c>
      <x:c r="E4" s="24" t="d">
        <x:v>2026-10-26T00:00:00.000Z</x:v>
      </x:c>
      <x:c r="F4" s="17" t="str">
        <x:v>Resolved</x:v>
      </x:c>
      <x:c r="G4" s="17" t="str">
        <x:v>Authentication, administration and UI mockups reported complete. UC-94–98 mapped to this baseline; module permissions and tests still need verification. Actual hours are unknown.</x:v>
      </x:c>
    </x:row>
    <x:row r="5" ht="98" customHeight="1">
      <x:c r="A5" s="24" t="d">
        <x:v>2026-10-26T00:00:00.000Z</x:v>
      </x:c>
      <x:c r="B5" s="17" t="str">
        <x:v>What scope must be completed?</x:v>
      </x:c>
      <x:c r="C5" s="17" t="str">
        <x:v>Team</x:v>
      </x:c>
      <x:c r="D5" s="17" t="str">
        <x:v>High</x:v>
      </x:c>
      <x:c r="E5" s="24" t="d">
        <x:v>2026-10-26T00:00:00.000Z</x:v>
      </x:c>
      <x:c r="F5" s="17" t="str">
        <x:v>Resolved</x:v>
      </x:c>
      <x:c r="G5" s="17" t="str">
        <x:v>All 97 ACTIVE UC in Report 3 baseline 3.1.0. Keep 14 RETIRED IDs for history; do not reintroduce pricing, invoices, refund execution or UC-106.</x:v>
      </x:c>
    </x:row>
    <x:row r="6" ht="98" customHeight="1">
      <x:c r="A6" s="24" t="d">
        <x:v>2026-10-26T00:00:00.000Z</x:v>
      </x:c>
      <x:c r="B6" s="17" t="str">
        <x:v>Who owns each business group?</x:v>
      </x:c>
      <x:c r="C6" s="17" t="str">
        <x:v>Team</x:v>
      </x:c>
      <x:c r="D6" s="17" t="str">
        <x:v>High</x:v>
      </x:c>
      <x:c r="E6" s="24" t="d">
        <x:v>2026-10-26T00:00:00.000Z</x:v>
      </x:c>
      <x:c r="F6" s="17" t="str">
        <x:v>Resolved</x:v>
      </x:c>
      <x:c r="G6" s="17" t="str">
        <x:v>minhtd purchase/receiving; hieudt relocation/transfers; danghh sales/issue; trungph customer/supplier returns; bachhm stocktake. Each owns FE/API/rules/tests/docs. bachhm supports returns IT/docs by 2 pd.</x:v>
      </x:c>
    </x:row>
    <x:row r="7" ht="98" customHeight="1">
      <x:c r="A7" s="24" t="d">
        <x:v>2026-10-26T00:00:00.000Z</x:v>
      </x:c>
      <x:c r="B7" s="17" t="str">
        <x:v>Which technologies are confirmed?</x:v>
      </x:c>
      <x:c r="C7" s="17" t="str">
        <x:v>Team</x:v>
      </x:c>
      <x:c r="D7" s="17" t="str">
        <x:v>Medium</x:v>
      </x:c>
      <x:c r="E7" s="24" t="d">
        <x:v>2026-10-26T00:00:00.000Z</x:v>
      </x:c>
      <x:c r="F7" s="17" t="str">
        <x:v>Resolved</x:v>
      </x:c>
      <x:c r="G7" s="17" t="str">
        <x:v>ReactJS frontend; Node.js and MongoDB retained from Report 2. Cloudinary image storage is already configured in the backend. Exact backend framework and deployment provider are unconfirmed.</x:v>
      </x:c>
    </x:row>
    <x:row r="8" ht="98" customHeight="1">
      <x:c r="A8" s="24" t="d">
        <x:v>2026-10-26T00:00:00.000Z</x:v>
      </x:c>
      <x:c r="B8" s="17" t="str">
        <x:v>When is the week-13 rehearsal review?</x:v>
      </x:c>
      <x:c r="C8" s="17" t="str">
        <x:v>Team</x:v>
      </x:c>
      <x:c r="D8" s="17" t="str">
        <x:v>High</x:v>
      </x:c>
      <x:c r="E8" s="24" t="d">
        <x:v>2026-11-27T00:00:00.000Z</x:v>
      </x:c>
      <x:c r="F8" s="17" t="str">
        <x:v>Open</x:v>
      </x:c>
      <x:c r="G8" s="17" t="str">
        <x:v>Possible late week 13. Confirm with supervisor; do not publish a fixed review appointment. Internal release is due 27/11; five-week calendar window ends 29/11.</x:v>
      </x:c>
    </x:row>
    <x:row r="9" ht="98" customHeight="1">
      <x:c r="A9" s="24" t="d">
        <x:v>2026-10-26T00:00:00.000Z</x:v>
      </x:c>
      <x:c r="B9" s="17" t="str">
        <x:v>Which API test tool and deployment target will be used?</x:v>
      </x:c>
      <x:c r="C9" s="17" t="str">
        <x:v>Team</x:v>
      </x:c>
      <x:c r="D9" s="17" t="str">
        <x:v>Medium</x:v>
      </x:c>
      <x:c r="E9" s="24" t="d">
        <x:v>2026-10-30T00:00:00.000Z</x:v>
      </x:c>
      <x:c r="F9" s="17" t="str">
        <x:v>Open</x:v>
      </x:c>
      <x:c r="G9" s="17" t="str">
        <x:v>Choose and document in week 8. minhtd coordinates the backend choice; all members confirm module deployment and evidence-upload requirements.</x:v>
      </x:c>
    </x:row>
    <x:row r="10" ht="98" customHeight="1">
      <x:c r="A10" s="24" t="d">
        <x:v>2026-10-26T00:00:00.000Z</x:v>
      </x:c>
      <x:c r="B10" s="17" t="str">
        <x:v>How should the tracker be updated?</x:v>
      </x:c>
      <x:c r="C10" s="17" t="str">
        <x:v>Team</x:v>
      </x:c>
      <x:c r="D10" s="17" t="str">
        <x:v>Medium</x:v>
      </x:c>
      <x:c r="E10" s="24" t="d">
        <x:v>2026-10-26T00:00:00.000Z</x:v>
      </x:c>
      <x:c r="F10" s="17" t="str">
        <x:v>Resolved</x:v>
      </x:c>
      <x:c r="G10" s="17" t="str">
        <x:v>Filter Scope State=ACTIVE for UC coverage. Update status, actual pd and evidence after work. Edit weekly effort to reschedule; G and capacity summaries recalculate. Change Dev deadline when moving work. Accepted requires Complete + Reviewed + Ready + Passed + 100% dev. No future test results are assumed.</x:v>
      </x:c>
    </x:row>
    <x:row r="11" ht="98" customHeight="1">
      <x:c r="A11" s="24" t="d">
        <x:v>2026-10-26T00:00:00.000Z</x:v>
      </x:c>
      <x:c r="B11" s="17" t="str">
        <x:v>What are the weekly exit targets?</x:v>
      </x:c>
      <x:c r="C11" s="17" t="str">
        <x:v>Team</x:v>
      </x:c>
      <x:c r="D11" s="17" t="str">
        <x:v>High</x:v>
      </x:c>
      <x:c r="E11" s="24" t="d">
        <x:v>2026-10-26T00:00:00.000Z</x:v>
      </x:c>
      <x:c r="F11" s="17" t="str">
        <x:v>Resolved</x:v>
      </x:c>
      <x:c r="G11" s="17" t="str">
        <x:v>W8 contracts/master data and first slices; W9 first integrated flows; W10 movement/return/stocktake rules; W11 integrated exception tests; W12 final source/version/concurrency controls, regression, docs, deployment and handover. Mockups alone do not satisfy UC completion.</x:v>
      </x:c>
    </x:row>
  </x:sheetData>
  <x:dataValidations count="1">
    <x:dataValidation type="list" sqref="F2:F200">
      <x:formula1>"Open,Resolved,Deferred"</x:formula1>
    </x:dataValidation>
  </x:dataValidations>
  <x:pageMargins left="0.7" right="0.7" top="0.75" bottom="0.75" header="0.3" footer="0.3"/>
  <x:tableParts count="1">
    <x:tablePart xmlns:r="http://schemas.openxmlformats.org/officeDocument/2006/relationships" r:id="R6c4d65a4ed5a47e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48" hidden="0" customWidth="1"/>
    <x:col min="3" max="3" width="17" hidden="0" customWidth="1"/>
    <x:col min="4" max="4" width="17" hidden="0" customWidth="1"/>
    <x:col min="5" max="5" width="17" hidden="0" customWidth="1"/>
    <x:col min="6" max="6" width="17" hidden="0" customWidth="1"/>
    <x:col min="7" max="7" width="24" hidden="0" customWidth="1"/>
    <x:col min="8" max="8" width="98" hidden="0" customWidth="1"/>
  </x:cols>
  <x:sheetData>
    <x:row r="1" ht="34" customHeight="1">
      <x:c r="A1" s="11" t="str">
        <x:v>Date</x:v>
      </x:c>
      <x:c r="B1" s="11" t="str">
        <x:v>Issue</x:v>
      </x:c>
      <x:c r="C1" s="11" t="str">
        <x:v>Priority</x:v>
      </x:c>
      <x:c r="D1" s="11" t="str">
        <x:v>Created</x:v>
      </x:c>
      <x:c r="E1" s="11" t="str">
        <x:v>Owner</x:v>
      </x:c>
      <x:c r="F1" s="11" t="str">
        <x:v>Due Date</x:v>
      </x:c>
      <x:c r="G1" s="11" t="str">
        <x:v>Status</x:v>
      </x:c>
      <x:c r="H1" s="11" t="str">
        <x:v>Notes</x:v>
      </x:c>
    </x:row>
    <x:row r="2" ht="98" customHeight="1">
      <x:c r="A2" s="24" t="d">
        <x:v>2026-10-26T00:00:00.000Z</x:v>
      </x:c>
      <x:c r="B2" s="17" t="str">
        <x:v>Risk: fixed 5-week scope and unvalidated estimates</x:v>
      </x:c>
      <x:c r="C2" s="17" t="str">
        <x:v>High</x:v>
      </x:c>
      <x:c r="D2" s="17" t="str">
        <x:v>Team</x:v>
      </x:c>
      <x:c r="E2" s="17" t="str">
        <x:v>bachhm</x:v>
      </x:c>
      <x:c r="F2" s="24" t="d">
        <x:v>2026-10-30T00:00:00.000Z</x:v>
      </x:c>
      <x:c r="G2" s="17" t="str">
        <x:v>Monitoring</x:v>
      </x:c>
      <x:c r="H2" s="17" t="str">
        <x:v>92.25/100 effective pd planned; no elapsed-effort evidence. Re-estimate after the first vertical slice. All active UC remain in scope; escalation does not silently drop them.</x:v>
      </x:c>
    </x:row>
    <x:row r="3" ht="98" customHeight="1">
      <x:c r="A3" s="24" t="d">
        <x:v>2026-10-26T00:00:00.000Z</x:v>
      </x:c>
      <x:c r="B3" s="17" t="str">
        <x:v>Risk: returns and sales have limited spare capacity</x:v>
      </x:c>
      <x:c r="C3" s="17" t="str">
        <x:v>High</x:v>
      </x:c>
      <x:c r="D3" s="17" t="str">
        <x:v>Team</x:v>
      </x:c>
      <x:c r="E3" s="17" t="str">
        <x:v>trungph</x:v>
      </x:c>
      <x:c r="F3" s="24" t="d">
        <x:v>2026-11-06T00:00:00.000Z</x:v>
      </x:c>
      <x:c r="G3" s="17" t="str">
        <x:v>Monitoring</x:v>
      </x:c>
      <x:c r="H3" s="17" t="str">
        <x:v>trungph and danghh each plan 19.75/20 pd. bachhm supplies 2 pd returns IT/document support; other spare capacity is available for review/fixes without moving business ownership.</x:v>
      </x:c>
    </x:row>
    <x:row r="4" ht="98" customHeight="1">
      <x:c r="A4" s="24" t="d">
        <x:v>2026-10-26T00:00:00.000Z</x:v>
      </x:c>
      <x:c r="B4" s="17" t="str">
        <x:v>Risk: shared stock and source contracts differ between modules</x:v>
      </x:c>
      <x:c r="C4" s="17" t="str">
        <x:v>High</x:v>
      </x:c>
      <x:c r="D4" s="17" t="str">
        <x:v>Team</x:v>
      </x:c>
      <x:c r="E4" s="17" t="str">
        <x:v>hieudt</x:v>
      </x:c>
      <x:c r="F4" s="24" t="d">
        <x:v>2026-10-30T00:00:00.000Z</x:v>
      </x:c>
      <x:c r="G4" s="17" t="str">
        <x:v>Monitoring</x:v>
      </x:c>
      <x:c r="H4" s="17" t="str">
        <x:v>Agree one posting/idempotency/UOM/reservation/freeze contract. Each owner integrates it; test partial receipt, source caps, concurrent claims and rollback.</x:v>
      </x:c>
    </x:row>
    <x:row r="5" ht="98" customHeight="1">
      <x:c r="A5" s="24" t="d">
        <x:v>2026-10-26T00:00:00.000Z</x:v>
      </x:c>
      <x:c r="B5" s="17" t="str">
        <x:v>Open: rehearsal review day not confirmed</x:v>
      </x:c>
      <x:c r="C5" s="17" t="str">
        <x:v>Medium</x:v>
      </x:c>
      <x:c r="D5" s="17" t="str">
        <x:v>Team</x:v>
      </x:c>
      <x:c r="E5" s="17" t="str">
        <x:v>bachhm</x:v>
      </x:c>
      <x:c r="F5" s="24" t="d">
        <x:v>2026-11-27T00:00:00.000Z</x:v>
      </x:c>
      <x:c r="G5" s="17" t="str">
        <x:v>Open</x:v>
      </x:c>
      <x:c r="H5" s="17" t="str">
        <x:v>Review is in project week 13, exact day TBC. This is a planning follow-up assignment, not a confirmed meeting or PM appointment.</x:v>
      </x:c>
    </x:row>
    <x:row r="6" ht="98" customHeight="1">
      <x:c r="A6" s="24" t="d">
        <x:v>2026-10-26T00:00:00.000Z</x:v>
      </x:c>
      <x:c r="B6" s="17" t="str">
        <x:v>Open: deployment target and API test tooling not confirmed</x:v>
      </x:c>
      <x:c r="C6" s="17" t="str">
        <x:v>Medium</x:v>
      </x:c>
      <x:c r="D6" s="17" t="str">
        <x:v>Team</x:v>
      </x:c>
      <x:c r="E6" s="17" t="str">
        <x:v>minhtd</x:v>
      </x:c>
      <x:c r="F6" s="24" t="d">
        <x:v>2026-10-30T00:00:00.000Z</x:v>
      </x:c>
      <x:c r="G6" s="17" t="str">
        <x:v>Open</x:v>
      </x:c>
      <x:c r="H6" s="17" t="str">
        <x:v>Confirm in week 8, prove MongoDB transaction support and Cloudinary evidence access. Setup is reported, end-to-end behavior is not yet verified.</x:v>
      </x:c>
    </x:row>
    <x:row r="7" ht="98" customHeight="1">
      <x:c r="A7" s="24" t="d">
        <x:v>2026-10-26T00:00:00.000Z</x:v>
      </x:c>
      <x:c r="B7" s="17" t="str">
        <x:v>Risk: foundation completeness inferred from user-reported modules</x:v>
      </x:c>
      <x:c r="C7" s="17" t="str">
        <x:v>Medium</x:v>
      </x:c>
      <x:c r="D7" s="17" t="str">
        <x:v>Team</x:v>
      </x:c>
      <x:c r="E7" s="17" t="str">
        <x:v>bachhm</x:v>
      </x:c>
      <x:c r="F7" s="24" t="d">
        <x:v>2026-10-30T00:00:00.000Z</x:v>
      </x:c>
      <x:c r="G7" s="17" t="str">
        <x:v>Monitoring</x:v>
      </x:c>
      <x:c r="H7" s="17" t="str">
        <x:v>Check UC-94–98, operation and warehouse scope, self-approval controls and retired-route absence. Keep Reported complete distinct from Accepted.</x:v>
      </x:c>
    </x:row>
  </x:sheetData>
  <x:dataValidations count="1">
    <x:dataValidation type="list" sqref="G2:G200">
      <x:formula1>"Open,Monitoring,In Progress,Resolved,Closed"</x:formula1>
    </x:dataValidation>
  </x:dataValidations>
  <x:pageMargins left="0.7" right="0.7" top="0.75" bottom="0.75" header="0.3" footer="0.3"/>
  <x:tableParts count="1">
    <x:tablePart xmlns:r="http://schemas.openxmlformats.org/officeDocument/2006/relationships" r:id="R40ecf881be9a4e73"/>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55" hidden="0" customWidth="1"/>
    <x:col min="3" max="3" width="17" hidden="0" customWidth="1"/>
    <x:col min="4" max="4" width="17" hidden="0" customWidth="1"/>
    <x:col min="5" max="5" width="45" hidden="0" customWidth="1"/>
    <x:col min="6" max="6" width="17" hidden="0" customWidth="1"/>
    <x:col min="7" max="7" width="24" hidden="0" customWidth="1"/>
    <x:col min="8" max="8" width="24" hidden="0" customWidth="1"/>
    <x:col min="9" max="9" width="24" hidden="0" customWidth="1"/>
    <x:col min="10" max="10" width="60" hidden="0" customWidth="1"/>
    <x:col min="12" max="12" width="80" hidden="0" customWidth="1"/>
  </x:cols>
  <x:sheetData>
    <x:row r="1" ht="44" customHeight="1">
      <x:c r="A1" s="11" t="str">
        <x:v>Date</x:v>
      </x:c>
      <x:c r="B1" s="11" t="str">
        <x:v>Defect Description</x:v>
      </x:c>
      <x:c r="C1" s="11" t="str">
        <x:v>Activity</x:v>
      </x:c>
      <x:c r="D1" s="11" t="str">
        <x:v>Product</x:v>
      </x:c>
      <x:c r="E1" s="11" t="str">
        <x:v>Product Details</x:v>
      </x:c>
      <x:c r="F1" s="11" t="str">
        <x:v>Assigner</x:v>
      </x:c>
      <x:c r="G1" s="11" t="str">
        <x:v>Assignee</x:v>
      </x:c>
      <x:c r="H1" s="11" t="str">
        <x:v>Status</x:v>
      </x:c>
      <x:c r="I1" s="11" t="str">
        <x:v>Updated</x:v>
      </x:c>
      <x:c r="J1" s="11" t="str">
        <x:v>Notes</x:v>
      </x:c>
      <x:c r="L1" s="16" t="str">
        <x:v>No defects have been supplied or observed in this planning task. Add only defects supported by an actual review or test.</x:v>
      </x:c>
    </x:row>
    <x:row r="2" ht="44" customHeight="1">
      <x:c r="A2" s="24"/>
      <x:c r="B2" s="17"/>
      <x:c r="C2" s="17"/>
      <x:c r="D2" s="17"/>
      <x:c r="E2" s="17"/>
      <x:c r="F2" s="24"/>
      <x:c r="G2" s="17"/>
      <x:c r="H2" s="17"/>
      <x:c r="I2" s="24"/>
      <x:c r="J2" s="17"/>
      <x:c r="L2" s="16" t="str">
        <x:v>Reference UC/task ID and evidence in Product Details. Close only after a recorded re-test.</x:v>
      </x:c>
    </x:row>
    <x:row r="3" ht="28" customHeight="1">
      <x:c r="A3" s="24"/>
      <x:c r="B3" s="17"/>
      <x:c r="C3" s="17"/>
      <x:c r="D3" s="17"/>
      <x:c r="E3" s="17"/>
      <x:c r="F3" s="24"/>
      <x:c r="G3" s="17"/>
      <x:c r="H3" s="17"/>
      <x:c r="I3" s="24"/>
      <x:c r="J3" s="17"/>
    </x:row>
    <x:row r="4" ht="28" customHeight="1">
      <x:c r="A4" s="24"/>
      <x:c r="B4" s="17"/>
      <x:c r="C4" s="17"/>
      <x:c r="D4" s="17"/>
      <x:c r="E4" s="17"/>
      <x:c r="F4" s="24"/>
      <x:c r="G4" s="17"/>
      <x:c r="H4" s="17"/>
      <x:c r="I4" s="24"/>
      <x:c r="J4" s="17"/>
    </x:row>
    <x:row r="5" ht="28" customHeight="1">
      <x:c r="A5" s="24"/>
      <x:c r="B5" s="17"/>
      <x:c r="C5" s="17"/>
      <x:c r="D5" s="17"/>
      <x:c r="E5" s="17"/>
      <x:c r="F5" s="24"/>
      <x:c r="G5" s="17"/>
      <x:c r="H5" s="17"/>
      <x:c r="I5" s="24"/>
      <x:c r="J5" s="17"/>
    </x:row>
    <x:row r="6" ht="28" customHeight="1">
      <x:c r="A6" s="24"/>
      <x:c r="B6" s="17"/>
      <x:c r="C6" s="17"/>
      <x:c r="D6" s="17"/>
      <x:c r="E6" s="17"/>
      <x:c r="F6" s="24"/>
      <x:c r="G6" s="17"/>
      <x:c r="H6" s="17"/>
      <x:c r="I6" s="24"/>
      <x:c r="J6" s="17"/>
    </x:row>
    <x:row r="7" ht="28" customHeight="1">
      <x:c r="A7" s="24"/>
      <x:c r="B7" s="17"/>
      <x:c r="C7" s="17"/>
      <x:c r="D7" s="17"/>
      <x:c r="E7" s="17"/>
      <x:c r="F7" s="24"/>
      <x:c r="G7" s="17"/>
      <x:c r="H7" s="17"/>
      <x:c r="I7" s="24"/>
      <x:c r="J7" s="17"/>
    </x:row>
    <x:row r="8" ht="28" customHeight="1">
      <x:c r="A8" s="24"/>
      <x:c r="B8" s="17"/>
      <x:c r="C8" s="17"/>
      <x:c r="D8" s="17"/>
      <x:c r="E8" s="17"/>
      <x:c r="F8" s="24"/>
      <x:c r="G8" s="17"/>
      <x:c r="H8" s="17"/>
      <x:c r="I8" s="24"/>
      <x:c r="J8" s="17"/>
    </x:row>
    <x:row r="9" ht="28" customHeight="1">
      <x:c r="A9" s="24"/>
      <x:c r="B9" s="17"/>
      <x:c r="C9" s="17"/>
      <x:c r="D9" s="17"/>
      <x:c r="E9" s="17"/>
      <x:c r="F9" s="24"/>
      <x:c r="G9" s="17"/>
      <x:c r="H9" s="17"/>
      <x:c r="I9" s="24"/>
      <x:c r="J9" s="17"/>
    </x:row>
    <x:row r="10" ht="28" customHeight="1">
      <x:c r="A10" s="24"/>
      <x:c r="B10" s="17"/>
      <x:c r="C10" s="17"/>
      <x:c r="D10" s="17"/>
      <x:c r="E10" s="17"/>
      <x:c r="F10" s="24"/>
      <x:c r="G10" s="17"/>
      <x:c r="H10" s="17"/>
      <x:c r="I10" s="24"/>
      <x:c r="J10" s="17"/>
    </x:row>
    <x:row r="11" ht="28" customHeight="1">
      <x:c r="A11" s="24"/>
      <x:c r="B11" s="17"/>
      <x:c r="C11" s="17"/>
      <x:c r="D11" s="17"/>
      <x:c r="E11" s="17"/>
      <x:c r="F11" s="24"/>
      <x:c r="G11" s="17"/>
      <x:c r="H11" s="17"/>
      <x:c r="I11" s="24"/>
      <x:c r="J11" s="17"/>
    </x:row>
  </x:sheetData>
  <x:dataValidations count="2">
    <x:dataValidation type="list" sqref="H2:H200">
      <x:formula1>"Pending,Assigned,Fixing,Fixed,Closed,Cancelled"</x:formula1>
    </x:dataValidation>
    <x:dataValidation type="list" sqref="C2:C200">
      <x:formula1>"Review,UT,IT,ST,AT"</x:formula1>
    </x:dataValidation>
  </x:dataValidations>
  <x:pageMargins left="0.7" right="0.7" top="0.75" bottom="0.75" header="0.3" footer="0.3"/>
  <x:tableParts count="1">
    <x:tablePart xmlns:r="http://schemas.openxmlformats.org/officeDocument/2006/relationships" r:id="R634f610574224921"/>
  </x:tableParts>
</x:worksheet>
</file>